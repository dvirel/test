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Whitehat\Desktop\"/>
    </mc:Choice>
  </mc:AlternateContent>
  <xr:revisionPtr revIDLastSave="0" documentId="8_{A14A81AB-54E6-48AE-A225-737F70F6AE48}" xr6:coauthVersionLast="47" xr6:coauthVersionMax="47" xr10:uidLastSave="{00000000-0000-0000-0000-000000000000}"/>
  <bookViews>
    <workbookView xWindow="-108" yWindow="-108" windowWidth="23256" windowHeight="12576" tabRatio="497" xr2:uid="{00000000-000D-0000-FFFF-FFFF00000000}"/>
  </bookViews>
  <sheets>
    <sheet name="Start" sheetId="6" r:id="rId1"/>
    <sheet name="Clients Data Entry" sheetId="7" r:id="rId2"/>
    <sheet name="DataSecond" sheetId="9" r:id="rId3"/>
    <sheet name="EzerSecond" sheetId="11" state="hidden" r:id="rId4"/>
    <sheet name="OutDataSecond" sheetId="10" r:id="rId5"/>
    <sheet name="Pr" sheetId="5" r:id="rId6"/>
    <sheet name="PdfFile" sheetId="8" r:id="rId7"/>
    <sheet name="Pic" sheetId="12" r:id="rId8"/>
    <sheet name="xlwings.conf" sheetId="2" r:id="rId9"/>
  </sheets>
  <definedNames>
    <definedName name="_xlnm._FilterDatabase" localSheetId="2" hidden="1">DataSecond!$A$1:$AE$74</definedName>
    <definedName name="AreaTextOut">Pr!$J$1:$M$30</definedName>
    <definedName name="AreaTextOut2">Pr!$P$1:$R$22</definedName>
    <definedName name="AreaToCleanBold">Pr!$K$8:$M$24</definedName>
    <definedName name="AreaToCleanBold2">Pr!$P$8:$R$16</definedName>
    <definedName name="CountMax">Start!$A$23</definedName>
    <definedName name="_xlnm.Criteria" localSheetId="2">DataSecond!$AK$1:$AK$2</definedName>
    <definedName name="CrtDataSecond">DataSecond!$AG$1:$AI$2</definedName>
    <definedName name="CrtStartTheAct">DataSecond!$AK$1:$AK$2</definedName>
    <definedName name="EndMail">Start!$I$1</definedName>
    <definedName name="EndMailName">Start!$I$2</definedName>
    <definedName name="_xlnm.Extract" localSheetId="2">DataSecond!$AO$1:$AS$1</definedName>
    <definedName name="_xlnm.Extract" localSheetId="4">OutDataSecond!$A$11:$W$11</definedName>
    <definedName name="ExtStartTheAct">DataSecond!$AM$1</definedName>
    <definedName name="ExtStartTheAct1">DataSecond!$AO$1:$AS$1</definedName>
    <definedName name="File2Name">Start!$A$19</definedName>
    <definedName name="FileNameDataSecond">Start!$A$14</definedName>
    <definedName name="FnameLogo">Start!$I$3</definedName>
    <definedName name="FontName">Start!$D$22</definedName>
    <definedName name="FontSize">Start!$D$24</definedName>
    <definedName name="Mail_Body_1">Start!$L$4</definedName>
    <definedName name="Mail_Body_2">Start!$L$5</definedName>
    <definedName name="Mail_Body_3">Start!$L$6</definedName>
    <definedName name="Mail_Start">Start!$L$2</definedName>
    <definedName name="MySpc">Pr!$A$2</definedName>
    <definedName name="NeemanNumber">Start!$B$2</definedName>
    <definedName name="NeemanNumber1">Start!$B$3</definedName>
    <definedName name="_xlnm.Print_Area" localSheetId="4">OutDataSecond!$A$1:$W$21</definedName>
    <definedName name="_xlnm.Print_Area" localSheetId="6">PdfFile!$A$1:$J$81</definedName>
    <definedName name="RemToRemSec">Start!$P$22</definedName>
    <definedName name="rngDataSecond">DataSecond!$AG$2</definedName>
    <definedName name="RngForMailRTLShow">Start!$F$18</definedName>
    <definedName name="RngForMailSendrShow">Start!$D$18</definedName>
    <definedName name="RowFive">Pr!$K$20</definedName>
    <definedName name="RowFiveB">Pr!$P$16</definedName>
    <definedName name="RowFiveE">Pr!$K$22</definedName>
    <definedName name="RowFour">Pr!$K$16</definedName>
    <definedName name="RowFourB">Pr!$P$14</definedName>
    <definedName name="RowFourE">Pr!$K$18</definedName>
    <definedName name="RowOne">Pr!$J$8</definedName>
    <definedName name="RowOneB">Pr!$P$8</definedName>
    <definedName name="RowSix">Pr!$K$24</definedName>
    <definedName name="RowSixE">Pr!$K$26</definedName>
    <definedName name="RowThree">Pr!$K$12</definedName>
    <definedName name="RowThreeB">Pr!$P$12</definedName>
    <definedName name="RowThreeE">Pr!$K$14</definedName>
    <definedName name="RowTwo">Pr!$K$10</definedName>
    <definedName name="RowTwoB">Pr!$P$10</definedName>
    <definedName name="SecFirstName">OutDataSecond!$W$15</definedName>
    <definedName name="SecId">OutDataSecond!$W$17</definedName>
    <definedName name="SecLastName">OutDataSecond!$W$16</definedName>
    <definedName name="Second_BodyMail1">Start!$A$31</definedName>
    <definedName name="Second_BodyMail2">Start!$A$32</definedName>
    <definedName name="Second_BodyMail3">Start!$A$33</definedName>
    <definedName name="Second_BodyMail4">Start!$A$34</definedName>
    <definedName name="Second_MarkMail1">Start!$A$36</definedName>
    <definedName name="Second_MarkMail2">Start!$A$37</definedName>
    <definedName name="Second_SubMail">Start!$A$29</definedName>
    <definedName name="SecRem">OutDataSecond!$W$20</definedName>
    <definedName name="Seif0A">Pr!$C$4</definedName>
    <definedName name="Seif0B">Pr!$D$6</definedName>
    <definedName name="Seif1">Pr!$E$5</definedName>
    <definedName name="Seif1A">Pr!$E$2</definedName>
    <definedName name="Seif1B">Pr!$E$4</definedName>
    <definedName name="Seif1C">Pr!$F$2</definedName>
    <definedName name="Seif1D">Pr!$F$4</definedName>
    <definedName name="Seif1E">Pr!$F$8</definedName>
    <definedName name="Seif1F">Pr!$F$9</definedName>
    <definedName name="Seif1New">Pr!$E$3</definedName>
    <definedName name="Seif1WW">Pr!$F$11</definedName>
    <definedName name="Seif2A">Pr!$G$2</definedName>
    <definedName name="Seif2B">Pr!$G$3</definedName>
    <definedName name="Seif2C">Pr!$G$4</definedName>
    <definedName name="Seif2D">Pr!$H$1</definedName>
    <definedName name="Seif2DE">Pr!$H$3</definedName>
    <definedName name="Seif3A">Pr!$I$2</definedName>
    <definedName name="Seif3B">Pr!$H$2</definedName>
    <definedName name="Seif3BZ">Pr!$I$3</definedName>
    <definedName name="Seif3C">Pr!$I$5</definedName>
    <definedName name="StartDataSecond">TblDataSecond[[#Headers],[מספר זהות/ID]]</definedName>
    <definedName name="StartDateOutSecon2">#REF!</definedName>
    <definedName name="StartDateOutSecond">OutDataSecond!$A$11</definedName>
    <definedName name="StartEzerW">EzerSecond!$A$1</definedName>
    <definedName name="StartSecondTable">DataSecond!$A$1</definedName>
    <definedName name="TblDataForSecondTableClean">DataSecond!$AO$1:$AS$5</definedName>
    <definedName name="TheExtDataSecond">OutDataSecond!$A$11:$W$11</definedName>
    <definedName name="TheExtDataSecond2">#REF!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7" i="6" l="1"/>
  <c r="D2" i="5"/>
  <c r="W7" i="7"/>
  <c r="X7" i="7"/>
  <c r="Y7" i="7"/>
  <c r="Z7" i="7" a="1"/>
  <c r="Z7" i="7" s="1"/>
  <c r="AI1" i="9" l="1"/>
  <c r="AH1" i="9"/>
  <c r="AS1" i="9"/>
  <c r="AR1" i="9"/>
  <c r="AQ1" i="9"/>
  <c r="AP1" i="9"/>
  <c r="AO1" i="9"/>
  <c r="AE2" i="9"/>
  <c r="AE3" i="9"/>
  <c r="AE4" i="9"/>
  <c r="AE5" i="9"/>
  <c r="AE6" i="9"/>
  <c r="AE7" i="9"/>
  <c r="AE8" i="9"/>
  <c r="AE9" i="9"/>
  <c r="AE10" i="9"/>
  <c r="AE11" i="9"/>
  <c r="AE12" i="9"/>
  <c r="AE13" i="9"/>
  <c r="AE14" i="9"/>
  <c r="AE15" i="9"/>
  <c r="AE16" i="9"/>
  <c r="AE17" i="9"/>
  <c r="AE18" i="9"/>
  <c r="AE19" i="9"/>
  <c r="AE20" i="9"/>
  <c r="AE21" i="9"/>
  <c r="AE22" i="9"/>
  <c r="AE23" i="9"/>
  <c r="AE24" i="9"/>
  <c r="AE25" i="9"/>
  <c r="AE26" i="9"/>
  <c r="AE27" i="9"/>
  <c r="AE28" i="9"/>
  <c r="AE29" i="9"/>
  <c r="AE30" i="9"/>
  <c r="AE31" i="9"/>
  <c r="AE32" i="9"/>
  <c r="AE33" i="9"/>
  <c r="AE34" i="9"/>
  <c r="AE35" i="9"/>
  <c r="AE36" i="9"/>
  <c r="AE37" i="9"/>
  <c r="AE38" i="9"/>
  <c r="AE39" i="9"/>
  <c r="AE40" i="9"/>
  <c r="AE41" i="9"/>
  <c r="AE42" i="9"/>
  <c r="AE43" i="9"/>
  <c r="AE44" i="9"/>
  <c r="AE45" i="9"/>
  <c r="AE46" i="9"/>
  <c r="AE47" i="9"/>
  <c r="AE48" i="9"/>
  <c r="AE49" i="9"/>
  <c r="AE50" i="9"/>
  <c r="AE51" i="9"/>
  <c r="AE52" i="9"/>
  <c r="AE53" i="9"/>
  <c r="AE54" i="9"/>
  <c r="AE55" i="9"/>
  <c r="AE56" i="9"/>
  <c r="AE57" i="9"/>
  <c r="AE58" i="9"/>
  <c r="AE59" i="9"/>
  <c r="AE60" i="9"/>
  <c r="AE61" i="9"/>
  <c r="AE62" i="9"/>
  <c r="AE63" i="9"/>
  <c r="AE64" i="9"/>
  <c r="AE65" i="9"/>
  <c r="AE66" i="9"/>
  <c r="AE67" i="9"/>
  <c r="AE68" i="9"/>
  <c r="AE69" i="9"/>
  <c r="AE70" i="9"/>
  <c r="AE71" i="9"/>
  <c r="AE72" i="9"/>
  <c r="AE73" i="9"/>
  <c r="AE74" i="9"/>
  <c r="AD74" i="9" a="1"/>
  <c r="AD74" i="9" s="1"/>
  <c r="AB74" i="9"/>
  <c r="AD73" i="9" a="1"/>
  <c r="AD73" i="9" s="1"/>
  <c r="AB73" i="9"/>
  <c r="AD72" i="9" a="1"/>
  <c r="AD72" i="9" s="1"/>
  <c r="AB72" i="9"/>
  <c r="AD71" i="9" a="1"/>
  <c r="AD71" i="9" s="1"/>
  <c r="AB71" i="9"/>
  <c r="AD70" i="9" a="1"/>
  <c r="AD70" i="9" s="1"/>
  <c r="AB70" i="9"/>
  <c r="AD69" i="9" a="1"/>
  <c r="AD69" i="9" s="1"/>
  <c r="AB69" i="9"/>
  <c r="AD68" i="9" a="1"/>
  <c r="AD68" i="9" s="1"/>
  <c r="AB68" i="9"/>
  <c r="AD67" i="9" a="1"/>
  <c r="AD67" i="9" s="1"/>
  <c r="AB67" i="9"/>
  <c r="AD66" i="9" a="1"/>
  <c r="AD66" i="9" s="1"/>
  <c r="AB66" i="9"/>
  <c r="AD65" i="9" a="1"/>
  <c r="AD65" i="9" s="1"/>
  <c r="AB65" i="9"/>
  <c r="AD64" i="9" a="1"/>
  <c r="AD64" i="9" s="1"/>
  <c r="AB64" i="9"/>
  <c r="AD63" i="9" a="1"/>
  <c r="AD63" i="9" s="1"/>
  <c r="AB63" i="9"/>
  <c r="AD62" i="9" a="1"/>
  <c r="AD62" i="9" s="1"/>
  <c r="AB62" i="9"/>
  <c r="AD61" i="9" a="1"/>
  <c r="AD61" i="9" s="1"/>
  <c r="AB61" i="9"/>
  <c r="AD60" i="9" a="1"/>
  <c r="AD60" i="9" s="1"/>
  <c r="AB60" i="9"/>
  <c r="AD59" i="9" a="1"/>
  <c r="AD59" i="9" s="1"/>
  <c r="AB59" i="9"/>
  <c r="AD58" i="9" a="1"/>
  <c r="AD58" i="9" s="1"/>
  <c r="AB58" i="9"/>
  <c r="AD57" i="9" a="1"/>
  <c r="AD57" i="9" s="1"/>
  <c r="AB57" i="9"/>
  <c r="AD56" i="9" a="1"/>
  <c r="AD56" i="9" s="1"/>
  <c r="AB56" i="9"/>
  <c r="AD55" i="9" a="1"/>
  <c r="AD55" i="9" s="1"/>
  <c r="AB55" i="9"/>
  <c r="AD54" i="9" a="1"/>
  <c r="AD54" i="9" s="1"/>
  <c r="AB54" i="9"/>
  <c r="AD53" i="9" a="1"/>
  <c r="AD53" i="9" s="1"/>
  <c r="AB53" i="9"/>
  <c r="AD52" i="9" a="1"/>
  <c r="AD52" i="9" s="1"/>
  <c r="AB52" i="9"/>
  <c r="AD51" i="9" a="1"/>
  <c r="AD51" i="9" s="1"/>
  <c r="AB51" i="9"/>
  <c r="AD50" i="9" a="1"/>
  <c r="AD50" i="9" s="1"/>
  <c r="AB50" i="9"/>
  <c r="AD49" i="9" a="1"/>
  <c r="AD49" i="9" s="1"/>
  <c r="AB49" i="9"/>
  <c r="AD48" i="9" a="1"/>
  <c r="AD48" i="9" s="1"/>
  <c r="AB48" i="9"/>
  <c r="AD47" i="9" a="1"/>
  <c r="AD47" i="9" s="1"/>
  <c r="AB47" i="9"/>
  <c r="AD46" i="9" a="1"/>
  <c r="AD46" i="9" s="1"/>
  <c r="AB46" i="9"/>
  <c r="AD45" i="9" a="1"/>
  <c r="AD45" i="9" s="1"/>
  <c r="AB45" i="9"/>
  <c r="AD44" i="9" a="1"/>
  <c r="AD44" i="9" s="1"/>
  <c r="AB44" i="9"/>
  <c r="AD43" i="9" a="1"/>
  <c r="AD43" i="9" s="1"/>
  <c r="AB43" i="9"/>
  <c r="AD42" i="9" a="1"/>
  <c r="AD42" i="9" s="1"/>
  <c r="AB42" i="9"/>
  <c r="AC74" i="9" l="1"/>
  <c r="AC70" i="9"/>
  <c r="AC71" i="9"/>
  <c r="AC62" i="9"/>
  <c r="AC66" i="9"/>
  <c r="AC58" i="9"/>
  <c r="AC55" i="9"/>
  <c r="AC47" i="9"/>
  <c r="AC54" i="9"/>
  <c r="AC46" i="9"/>
  <c r="AC63" i="9"/>
  <c r="AC67" i="9"/>
  <c r="AC59" i="9"/>
  <c r="AC43" i="9"/>
  <c r="AC50" i="9"/>
  <c r="AC42" i="9"/>
  <c r="AC69" i="9"/>
  <c r="AC61" i="9"/>
  <c r="AC53" i="9"/>
  <c r="AC45" i="9"/>
  <c r="AC68" i="9"/>
  <c r="AC60" i="9"/>
  <c r="AC52" i="9"/>
  <c r="AC44" i="9"/>
  <c r="AC51" i="9"/>
  <c r="AC73" i="9"/>
  <c r="AC65" i="9"/>
  <c r="AC57" i="9"/>
  <c r="AC49" i="9"/>
  <c r="AC72" i="9"/>
  <c r="AC64" i="9"/>
  <c r="AC56" i="9"/>
  <c r="AC48" i="9"/>
  <c r="AM1" i="9" a="1"/>
  <c r="AM1" i="9" s="1"/>
  <c r="AK1" i="9" a="1"/>
  <c r="AK1" i="9" s="1"/>
  <c r="AB5" i="9"/>
  <c r="AC5" i="9" s="1"/>
  <c r="AB6" i="9"/>
  <c r="AC6" i="9" s="1"/>
  <c r="AB7" i="9"/>
  <c r="AC7" i="9" s="1"/>
  <c r="AB8" i="9"/>
  <c r="AC8" i="9" s="1"/>
  <c r="AB9" i="9"/>
  <c r="AC9" i="9" s="1"/>
  <c r="AB10" i="9"/>
  <c r="AC10" i="9" s="1"/>
  <c r="AB11" i="9"/>
  <c r="AC11" i="9" s="1"/>
  <c r="AB12" i="9"/>
  <c r="AC12" i="9" s="1"/>
  <c r="AB13" i="9"/>
  <c r="AC13" i="9" s="1"/>
  <c r="AB14" i="9"/>
  <c r="AC14" i="9" s="1"/>
  <c r="AB15" i="9"/>
  <c r="AC15" i="9" s="1"/>
  <c r="AB16" i="9"/>
  <c r="AC16" i="9" s="1"/>
  <c r="AB17" i="9"/>
  <c r="AC17" i="9" s="1"/>
  <c r="AB18" i="9"/>
  <c r="AC18" i="9" s="1"/>
  <c r="AB19" i="9"/>
  <c r="AC19" i="9" s="1"/>
  <c r="AB20" i="9"/>
  <c r="AC20" i="9" s="1"/>
  <c r="AB21" i="9"/>
  <c r="AC21" i="9" s="1"/>
  <c r="AB22" i="9"/>
  <c r="AC22" i="9" s="1"/>
  <c r="AB23" i="9"/>
  <c r="AC23" i="9" s="1"/>
  <c r="AB24" i="9"/>
  <c r="AC24" i="9" s="1"/>
  <c r="AB25" i="9"/>
  <c r="AC25" i="9" s="1"/>
  <c r="AB26" i="9"/>
  <c r="AC26" i="9" s="1"/>
  <c r="AB27" i="9"/>
  <c r="AC27" i="9" s="1"/>
  <c r="AB28" i="9"/>
  <c r="AC28" i="9" s="1"/>
  <c r="AB29" i="9"/>
  <c r="AC29" i="9" s="1"/>
  <c r="AB30" i="9"/>
  <c r="AC30" i="9" s="1"/>
  <c r="AB31" i="9"/>
  <c r="AC31" i="9" s="1"/>
  <c r="AB32" i="9"/>
  <c r="AC32" i="9" s="1"/>
  <c r="AB33" i="9"/>
  <c r="AC33" i="9" s="1"/>
  <c r="AB34" i="9"/>
  <c r="AC34" i="9" s="1"/>
  <c r="AB35" i="9"/>
  <c r="AC35" i="9" s="1"/>
  <c r="AB36" i="9"/>
  <c r="AC36" i="9" s="1"/>
  <c r="AB37" i="9"/>
  <c r="AC37" i="9" s="1"/>
  <c r="AB38" i="9"/>
  <c r="AC38" i="9" s="1"/>
  <c r="AB39" i="9"/>
  <c r="AC39" i="9" s="1"/>
  <c r="AB40" i="9"/>
  <c r="AC40" i="9" s="1"/>
  <c r="AB41" i="9"/>
  <c r="AC41" i="9" s="1"/>
  <c r="AD5" i="9" a="1"/>
  <c r="AD5" i="9" s="1"/>
  <c r="AD6" i="9" a="1"/>
  <c r="AD6" i="9" s="1"/>
  <c r="AD7" i="9" a="1"/>
  <c r="AD7" i="9" s="1"/>
  <c r="AD8" i="9" a="1"/>
  <c r="AD8" i="9" s="1"/>
  <c r="AD9" i="9" a="1"/>
  <c r="AD9" i="9" s="1"/>
  <c r="AD10" i="9" a="1"/>
  <c r="AD10" i="9" s="1"/>
  <c r="AD11" i="9" a="1"/>
  <c r="AD11" i="9" s="1"/>
  <c r="AD12" i="9" a="1"/>
  <c r="AD12" i="9" s="1"/>
  <c r="AD13" i="9" a="1"/>
  <c r="AD13" i="9" s="1"/>
  <c r="AD14" i="9" a="1"/>
  <c r="AD14" i="9" s="1"/>
  <c r="AD15" i="9" a="1"/>
  <c r="AD15" i="9" s="1"/>
  <c r="AD16" i="9" a="1"/>
  <c r="AD16" i="9" s="1"/>
  <c r="AD17" i="9" a="1"/>
  <c r="AD17" i="9" s="1"/>
  <c r="AD18" i="9" a="1"/>
  <c r="AD18" i="9" s="1"/>
  <c r="AD19" i="9" a="1"/>
  <c r="AD19" i="9" s="1"/>
  <c r="AD20" i="9" a="1"/>
  <c r="AD20" i="9" s="1"/>
  <c r="AD21" i="9" a="1"/>
  <c r="AD21" i="9" s="1"/>
  <c r="AD22" i="9" a="1"/>
  <c r="AD22" i="9" s="1"/>
  <c r="AD23" i="9" a="1"/>
  <c r="AD23" i="9" s="1"/>
  <c r="AD24" i="9" a="1"/>
  <c r="AD24" i="9" s="1"/>
  <c r="AD25" i="9" a="1"/>
  <c r="AD25" i="9" s="1"/>
  <c r="AD26" i="9" a="1"/>
  <c r="AD26" i="9" s="1"/>
  <c r="AD27" i="9" a="1"/>
  <c r="AD27" i="9" s="1"/>
  <c r="AD28" i="9" a="1"/>
  <c r="AD28" i="9" s="1"/>
  <c r="AD29" i="9" a="1"/>
  <c r="AD29" i="9" s="1"/>
  <c r="AD30" i="9" a="1"/>
  <c r="AD30" i="9" s="1"/>
  <c r="AD31" i="9" a="1"/>
  <c r="AD31" i="9" s="1"/>
  <c r="AD32" i="9" a="1"/>
  <c r="AD32" i="9" s="1"/>
  <c r="AD33" i="9" a="1"/>
  <c r="AD33" i="9" s="1"/>
  <c r="AD34" i="9" a="1"/>
  <c r="AD34" i="9" s="1"/>
  <c r="AD35" i="9" a="1"/>
  <c r="AD35" i="9" s="1"/>
  <c r="AD36" i="9" a="1"/>
  <c r="AD36" i="9" s="1"/>
  <c r="AD37" i="9" a="1"/>
  <c r="AD37" i="9" s="1"/>
  <c r="AD38" i="9" a="1"/>
  <c r="AD38" i="9" s="1"/>
  <c r="AD39" i="9" a="1"/>
  <c r="AD39" i="9" s="1"/>
  <c r="AD40" i="9" a="1"/>
  <c r="AD40" i="9" s="1"/>
  <c r="AD41" i="9" a="1"/>
  <c r="AD41" i="9" s="1"/>
  <c r="AD3" i="9" a="1"/>
  <c r="AD3" i="9" s="1"/>
  <c r="AD4" i="9" a="1"/>
  <c r="AD4" i="9" s="1"/>
  <c r="AD2" i="9" a="1"/>
  <c r="AD2" i="9" s="1"/>
  <c r="AB2" i="9"/>
  <c r="AC2" i="9" s="1"/>
  <c r="AB3" i="9"/>
  <c r="AC3" i="9" s="1"/>
  <c r="AB4" i="9"/>
  <c r="AC4" i="9" s="1"/>
  <c r="AG1" i="9" a="1"/>
  <c r="AG1" i="9" s="1"/>
  <c r="Z6" i="7" a="1"/>
  <c r="Z6" i="7" s="1"/>
  <c r="Y6" i="7"/>
  <c r="X6" i="7"/>
  <c r="W6" i="7"/>
  <c r="Y3" i="7"/>
  <c r="Y4" i="7"/>
  <c r="Y5" i="7"/>
  <c r="X2" i="7"/>
  <c r="X3" i="7"/>
  <c r="X4" i="7"/>
  <c r="X5" i="7"/>
  <c r="W5" i="7"/>
  <c r="W4" i="7"/>
  <c r="Z5" i="7" a="1"/>
  <c r="Z5" i="7" s="1"/>
  <c r="Z4" i="7" a="1"/>
  <c r="Z4" i="7" s="1"/>
  <c r="Z3" i="7" a="1"/>
  <c r="Z3" i="7" s="1"/>
  <c r="D4" i="5"/>
  <c r="B4" i="6"/>
  <c r="M1" i="5" s="1"/>
  <c r="C2" i="5"/>
  <c r="P4" i="5" s="1"/>
  <c r="I7" i="5"/>
  <c r="F6" i="5"/>
  <c r="R1" i="5" l="1"/>
  <c r="K4" i="5"/>
  <c r="K5" i="5"/>
  <c r="P5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<sst xmlns="http://schemas.openxmlformats.org/spreadsheetml/2006/main" count="683" uniqueCount="227">
  <si>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</si>
  <si>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</si>
  <si>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</si>
  <si>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</si>
  <si>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</si>
  <si>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</si>
  <si>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</si>
  <si>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</si>
  <si>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</si>
  <si>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</si>
  <si>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</si>
  <si>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</si>
  <si>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</si>
  <si>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Rename this sheet to "xlwings.conf" to activate it (remove the leading underscore).  The settings have to start in cell A1.</t>
  </si>
  <si>
    <t>C:\Users\User2\StatPython\env\Scripts\pythonw.exe</t>
  </si>
  <si>
    <t>אדלמן</t>
  </si>
  <si>
    <t>edelmanarik@gmail.com</t>
  </si>
  <si>
    <t>FileName</t>
  </si>
  <si>
    <t>FileDir</t>
  </si>
  <si>
    <t>PassWord</t>
  </si>
  <si>
    <t>Best regards,</t>
  </si>
  <si>
    <t>Stas</t>
  </si>
  <si>
    <t>LogoEndMail.jpg</t>
  </si>
  <si>
    <t>מלל קבוע :</t>
  </si>
  <si>
    <t>1. בהתאם לנתונים שברשותנו בתאריך</t>
  </si>
  <si>
    <t>Seif1A</t>
  </si>
  <si>
    <t>Seif1B</t>
  </si>
  <si>
    <t xml:space="preserve">תעודת זהות </t>
  </si>
  <si>
    <t>Seif1C</t>
  </si>
  <si>
    <t>Seif1D</t>
  </si>
  <si>
    <t>") סך התמורה בגין</t>
  </si>
  <si>
    <t>חלוקת דיבידנד</t>
  </si>
  <si>
    <t>Seif1</t>
  </si>
  <si>
    <t>הינה</t>
  </si>
  <si>
    <t>רווח קבוע</t>
  </si>
  <si>
    <t>Seif1E</t>
  </si>
  <si>
    <t>Seif1F</t>
  </si>
  <si>
    <t>.</t>
  </si>
  <si>
    <t>Seif2A</t>
  </si>
  <si>
    <t>Seif2B</t>
  </si>
  <si>
    <t>Seif2C</t>
  </si>
  <si>
    <t>Seif2D</t>
  </si>
  <si>
    <t xml:space="preserve">3. תשלום בסך </t>
  </si>
  <si>
    <t>Seif3A</t>
  </si>
  <si>
    <t>Seif3B</t>
  </si>
  <si>
    <t xml:space="preserve">הועבר ביום </t>
  </si>
  <si>
    <t>הנדון :</t>
  </si>
  <si>
    <t>Seif0A</t>
  </si>
  <si>
    <t>("החברה")</t>
  </si>
  <si>
    <t>עבור :</t>
  </si>
  <si>
    <t>כנאמן</t>
  </si>
  <si>
    <t>Seif0B</t>
  </si>
  <si>
    <t>עבור חברת</t>
  </si>
  <si>
    <t>הרינו לאשר כדלקמן :</t>
  </si>
  <si>
    <t>בכבוד רב,</t>
  </si>
  <si>
    <t>איסופ שירותי ניהול ונאמנות בע"מ</t>
  </si>
  <si>
    <t>לכל מאן דבעי</t>
  </si>
  <si>
    <t>טבע</t>
  </si>
  <si>
    <t>דולר ארה"ב</t>
  </si>
  <si>
    <t xml:space="preserve"> </t>
  </si>
  <si>
    <t>לא למלא שייך למערכת</t>
  </si>
  <si>
    <t>Seif2CB</t>
  </si>
  <si>
    <t>EndTask</t>
  </si>
  <si>
    <t>Rem</t>
  </si>
  <si>
    <t>לחשבונו של מר</t>
  </si>
  <si>
    <t>ת.ז.</t>
  </si>
  <si>
    <r>
      <t xml:space="preserve">המהווה </t>
    </r>
    <r>
      <rPr>
        <b/>
        <sz val="12"/>
        <color rgb="FFFF0000"/>
        <rFont val="Calibri"/>
        <family val="2"/>
        <scheme val="minor"/>
      </rPr>
      <t>XXX</t>
    </r>
    <r>
      <rPr>
        <sz val="12"/>
        <color theme="1"/>
        <rFont val="Calibri"/>
        <family val="2"/>
        <scheme val="minor"/>
      </rPr>
      <t xml:space="preserve"> מסך התמורה</t>
    </r>
  </si>
  <si>
    <t>ישראכארד</t>
  </si>
  <si>
    <t>כהן</t>
  </si>
  <si>
    <t>אישור על העברת כספים בגין</t>
  </si>
  <si>
    <t>מכירת מניות</t>
  </si>
  <si>
    <t>תחת נאמנות</t>
  </si>
  <si>
    <t>יוסי אחזקות</t>
  </si>
  <si>
    <t>X</t>
  </si>
  <si>
    <t>של חברת</t>
  </si>
  <si>
    <t>להלן ("החברה")</t>
  </si>
  <si>
    <t>בהתאם להוראות 102 לפקודת מס הכנסה</t>
  </si>
  <si>
    <t>הועברה תמורה כספית בגין</t>
  </si>
  <si>
    <t>שהוחזקו תחת נאמנות</t>
  </si>
  <si>
    <t xml:space="preserve">בסכום של </t>
  </si>
  <si>
    <t>הסכום הינו נטו לאחר ניכוי המס</t>
  </si>
  <si>
    <t>מספר נאמן:</t>
  </si>
  <si>
    <t>תאריך המסמך:</t>
  </si>
  <si>
    <t>Mail</t>
  </si>
  <si>
    <t>שם קובץ טבלה נוספת</t>
  </si>
  <si>
    <t>DataSecond</t>
  </si>
  <si>
    <t>NotRun</t>
  </si>
  <si>
    <t>מלל למייל:</t>
  </si>
  <si>
    <t>מלל פתיחה:</t>
  </si>
  <si>
    <t>נושא המייל :</t>
  </si>
  <si>
    <t>לפי טבלה : אישור על העברת כספים בגין  / חלוקת דיבידנד</t>
  </si>
  <si>
    <t>לכל מאן דבעי,
ג.א.נ.,</t>
  </si>
  <si>
    <t>* This report is not a substitute for a formal approval of "withholding at Source" form according to the Israeli tax</t>
  </si>
  <si>
    <t>Seif3BZ</t>
  </si>
  <si>
    <t>הערה : לטובת טבלה מסכמת שורה אחרונה</t>
  </si>
  <si>
    <t xml:space="preserve">                                                                              איסופ שירותי ניהול ונאמנות בע"מ</t>
  </si>
  <si>
    <t xml:space="preserve">                                                                              בכבוד רב,</t>
  </si>
  <si>
    <t>Seif2DE</t>
  </si>
  <si>
    <t>מקדמת המס הועברה למס הכנסה בתיק הניכויים של הח"מ,</t>
  </si>
  <si>
    <t xml:space="preserve"> מס' 935877779, לפי המועדים המוגדרי בחוק.</t>
  </si>
  <si>
    <t>כסוכן משלם (Paying Agent)</t>
  </si>
  <si>
    <t>102 = נאמן 103 = סוכן משלם X=אישור העברה</t>
  </si>
  <si>
    <t xml:space="preserve">שליחת מייל או הצגה למסך </t>
  </si>
  <si>
    <t>מסך</t>
  </si>
  <si>
    <t>כמות שורות מקסימלית לכל לקוח בטבלת העזר</t>
  </si>
  <si>
    <t>ColumnWidth</t>
  </si>
  <si>
    <t>שם קובץ טבלה מסמכת</t>
  </si>
  <si>
    <t>מייל לצורך טבלה מסמכת</t>
  </si>
  <si>
    <t xml:space="preserve">נושא </t>
  </si>
  <si>
    <t>גוף מייל</t>
  </si>
  <si>
    <t>סיכום וחתימה</t>
  </si>
  <si>
    <t>בברכה,</t>
  </si>
  <si>
    <t>שם חברה (חלק 1)</t>
  </si>
  <si>
    <t>מספר ת.ז.(חלק 1)</t>
  </si>
  <si>
    <t>שם משפחה בלבד (חלק 1)</t>
  </si>
  <si>
    <t>תאריך חלוקה (חלק 1)</t>
  </si>
  <si>
    <t>סכום החלוקה (חלק 1)</t>
  </si>
  <si>
    <t>מטבע סכום החלוקה (חלק 1)</t>
  </si>
  <si>
    <t>מלל קבוע (חלק 1)</t>
  </si>
  <si>
    <t>Seif1New</t>
  </si>
  <si>
    <t>חילקה החברה דיבידנד עבור</t>
  </si>
  <si>
    <t xml:space="preserve">בגין התשלום המפורט בסעיף 1 נוכתה על ידנו מקדמת מס בסכום של </t>
  </si>
  <si>
    <t>מלל קבוע (חלק 2)</t>
  </si>
  <si>
    <t>סכום המס  (חלק 2)</t>
  </si>
  <si>
    <t>אחוז מסך התמורה  (חלק 2)</t>
  </si>
  <si>
    <t>מלל אחוז התמורה XXX מוחלף אוטומטית באחוזים עמודה קודם  (חלק 2)</t>
  </si>
  <si>
    <t>מלל קבוע מקדמת המס (חלק 2)</t>
  </si>
  <si>
    <t>מלל מקדמת המס המשך  (חלק 2)</t>
  </si>
  <si>
    <t>תשלום ללקוח  (חלק 3)</t>
  </si>
  <si>
    <t>מטבה התשלום ללקוח  (חלק 3)</t>
  </si>
  <si>
    <t>מלל סכום נטו עבור אישור העברה  (חלק 3)</t>
  </si>
  <si>
    <t>נושא האישור (כותרת מסמך)</t>
  </si>
  <si>
    <t xml:space="preserve">                                בכבוד רב,</t>
  </si>
  <si>
    <t xml:space="preserve">                                איסופ שירותי ניהול ונאמנות בע"מ</t>
  </si>
  <si>
    <t>Date of sale- תאריך מכירה</t>
  </si>
  <si>
    <t>Price per share- מחיר מכירה למניה</t>
  </si>
  <si>
    <t>Broker's Commisions- עמלות ברוקר</t>
  </si>
  <si>
    <t>Date of grant- תאריך הקצאה</t>
  </si>
  <si>
    <t>Total Net gain $- סה"כ רווח נקי</t>
  </si>
  <si>
    <t>Representive rate שער יציג</t>
  </si>
  <si>
    <t>כמות מניות שנמכרה-Number of exercised options4</t>
  </si>
  <si>
    <t xml:space="preserve">    מקדמת המס הועברה למס הכנסה בתיק הניכויים של הח"מ,</t>
  </si>
  <si>
    <t xml:space="preserve">     מס' 935877779, לפי המועדים המוגדרי בחוק.</t>
  </si>
  <si>
    <t xml:space="preserve">    לחשבונו של מר כהן .</t>
  </si>
  <si>
    <t>כסוכן משלם (Paying Agent) עבור חברת ישראכארד ("החברה") הרינו לאשר כדלקמן :</t>
  </si>
  <si>
    <t>1. בהתאם לנתונים שברשותנו בתאריך 25/01/2021 ,</t>
  </si>
  <si>
    <r>
      <t xml:space="preserve">    מכירת מניות הינה </t>
    </r>
    <r>
      <rPr>
        <b/>
        <sz val="24"/>
        <color theme="1"/>
        <rFont val="Arial"/>
        <family val="2"/>
      </rPr>
      <t>58,266.00</t>
    </r>
    <r>
      <rPr>
        <sz val="24"/>
        <color theme="1"/>
        <rFont val="Arial"/>
        <family val="2"/>
      </rPr>
      <t xml:space="preserve"> דולר ארה"ב.</t>
    </r>
  </si>
  <si>
    <t>First Name:</t>
  </si>
  <si>
    <t>Surname :</t>
  </si>
  <si>
    <t>ID#:</t>
  </si>
  <si>
    <t>Trustee's Signature :</t>
  </si>
  <si>
    <t>NumRows</t>
  </si>
  <si>
    <t>C:\Users\User2\StatPython\src\OutFiles\</t>
  </si>
  <si>
    <t>תצוגה עברית /אנגלית</t>
  </si>
  <si>
    <t>עברית</t>
  </si>
  <si>
    <t>AVI</t>
  </si>
  <si>
    <t>levi</t>
  </si>
  <si>
    <t>STASM@ESOP.CO.IL</t>
  </si>
  <si>
    <t>dan</t>
  </si>
  <si>
    <t>ANGELMT@WALLA.CO.IL</t>
  </si>
  <si>
    <t>שם תמונה חייב להיות :</t>
  </si>
  <si>
    <t>Picture_1</t>
  </si>
  <si>
    <t>Picture_2</t>
  </si>
  <si>
    <t>מספר זהות/ID</t>
  </si>
  <si>
    <t>שם פרטי/Name</t>
  </si>
  <si>
    <t>שם משפחה/Last Name</t>
  </si>
  <si>
    <t>חברה/Company</t>
  </si>
  <si>
    <t>תאריך מימוש/Exercise  Date</t>
  </si>
  <si>
    <t>מסלול מס/Tax Track</t>
  </si>
  <si>
    <t>שער ממוצע/Average Price</t>
  </si>
  <si>
    <t>עמלת נאמן/Trustee Commision</t>
  </si>
  <si>
    <t>שיעור מס פירותי/Marginal Tax Rate</t>
  </si>
  <si>
    <t>Marginal Gain/הכנסה פירותית</t>
  </si>
  <si>
    <t>שיעור מס הוני/ Capital Tax Rate</t>
  </si>
  <si>
    <t>Capital Gain/הכנסה הונית</t>
  </si>
  <si>
    <t>מס שנוכה/Tax deducted</t>
  </si>
  <si>
    <t>עמלת העברה ש"ח</t>
  </si>
  <si>
    <t>סכום העברה ש"ח</t>
  </si>
  <si>
    <t>עמלת העברה $</t>
  </si>
  <si>
    <t>סכום העברה $</t>
  </si>
  <si>
    <t>Qualcomm</t>
  </si>
  <si>
    <t>102N</t>
  </si>
  <si>
    <t>000001234</t>
  </si>
  <si>
    <t>DataSecond_F_1_000001234.pdf</t>
  </si>
  <si>
    <t>000012345</t>
  </si>
  <si>
    <t>DataSecond_F_1_000012345.pdf</t>
  </si>
  <si>
    <t>DataSecond_F_2_000012345.pdf</t>
  </si>
  <si>
    <t>DataSecond_F_3_000012345.pdf</t>
  </si>
  <si>
    <t>Empty1</t>
  </si>
  <si>
    <t>Empty2</t>
  </si>
  <si>
    <t>Calibri</t>
  </si>
  <si>
    <t>Font Name</t>
  </si>
  <si>
    <t>Font Size</t>
  </si>
  <si>
    <t>הגדרת שם פונט וגודל</t>
  </si>
  <si>
    <t>103X</t>
  </si>
  <si>
    <t>הועברה תמורה כספית בגין מכירת מניות שהוחזקו תחת נאמנות.</t>
  </si>
  <si>
    <t>עבור : אריק אדלמן ת.ז. 22875942 בסכום של  1,250.00 דולר ארה"ב</t>
  </si>
  <si>
    <t>הסכום הינו נטו לאחר ניכוי המס.</t>
  </si>
  <si>
    <r>
      <t>2. בגין התשלום המפו</t>
    </r>
    <r>
      <rPr>
        <sz val="24"/>
        <color theme="1"/>
        <rFont val="Arial"/>
        <family val="2"/>
      </rPr>
      <t xml:space="preserve">רט בסעיף 1 נוכתה על ידנו מקדמת מס בסכום של  </t>
    </r>
    <r>
      <rPr>
        <b/>
        <sz val="24"/>
        <color theme="1"/>
        <rFont val="Arial"/>
        <family val="2"/>
      </rPr>
      <t>₪45,262.23</t>
    </r>
  </si>
  <si>
    <t>Seif3C</t>
  </si>
  <si>
    <t>תאריך העברה ללקוח</t>
  </si>
  <si>
    <r>
      <t xml:space="preserve">3. תשלום </t>
    </r>
    <r>
      <rPr>
        <sz val="24"/>
        <color theme="1"/>
        <rFont val="Arial"/>
        <family val="2"/>
      </rPr>
      <t xml:space="preserve">בסך  </t>
    </r>
    <r>
      <rPr>
        <b/>
        <sz val="24"/>
        <color theme="1"/>
        <rFont val="Arial"/>
        <family val="2"/>
      </rPr>
      <t xml:space="preserve">15,263.25 </t>
    </r>
    <r>
      <rPr>
        <sz val="24"/>
        <color theme="1"/>
        <rFont val="Arial"/>
        <family val="2"/>
      </rPr>
      <t xml:space="preserve"> דולר ארה"ב הועבר ביום  00/01/1900</t>
    </r>
  </si>
  <si>
    <t>כסוכן משלם (Paying Agent) של חברת יוסי אחזקות להלן ("החברה"),</t>
  </si>
  <si>
    <t>&gt;=27</t>
  </si>
  <si>
    <t>&lt;=28</t>
  </si>
  <si>
    <t>הרינו לאשר כי ביום</t>
  </si>
  <si>
    <t>שם פרטי (חלק 1)</t>
  </si>
  <si>
    <t>אריק</t>
  </si>
  <si>
    <t>יוסי</t>
  </si>
  <si>
    <t>Summary report</t>
  </si>
  <si>
    <t>Please find attached your summary report the file is encrypted by your ID number</t>
  </si>
  <si>
    <t>מר / גב' שלום רב,</t>
  </si>
  <si>
    <t xml:space="preserve">    המהווה 35.00% מסך התמורה.</t>
  </si>
  <si>
    <t xml:space="preserve"> ,הרינו לאשר כי ביום 25/01/2021</t>
  </si>
  <si>
    <t>מלל לגוף המייל1 :</t>
  </si>
  <si>
    <t>מלל לגוף המייל2 :</t>
  </si>
  <si>
    <t>מלל לגוף המייל3 :</t>
  </si>
  <si>
    <t>תודה</t>
  </si>
  <si>
    <t>הקובץ מוצפן במספר הזהות שלך,</t>
  </si>
  <si>
    <t>מצ"ב מסמך אישור  בהתאם לרשום מטה</t>
  </si>
  <si>
    <t xml:space="preserve">(להלן :" </t>
  </si>
  <si>
    <t>מר / גברת / חברה</t>
  </si>
  <si>
    <t>Seif1WW</t>
  </si>
  <si>
    <t>מר</t>
  </si>
  <si>
    <t>גברת</t>
  </si>
  <si>
    <t>חברה</t>
  </si>
  <si>
    <r>
      <t xml:space="preserve">    יוסי </t>
    </r>
    <r>
      <rPr>
        <sz val="24"/>
        <color theme="1"/>
        <rFont val="Arial"/>
        <family val="2"/>
      </rPr>
      <t>כהן ,תעודת זהות  000125664 (להלן :" חברה כהן ") סך התמורה בגין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</si>
</sst>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₪&quot;* #,##0_-;\-&quot;₪&quot;* #,##0_-;_-&quot;₪&quot;* &quot;-&quot;_-;_-@_-"/>
    <numFmt numFmtId="41" formatCode="_-* #,##0_-;\-* #,##0_-;_-* &quot;-&quot;_-;_-@_-"/>
    <numFmt numFmtId="44" formatCode="_-&quot;₪&quot;* #,##0.00_-;\-&quot;₪&quot;* #,##0.00_-;_-&quot;₪&quot;* &quot;-&quot;??_-;_-@_-"/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-[$$-409]* #,##0.00_ ;_-[$$-409]* \-#,##0.00\ ;_-[$$-409]* &quot;-&quot;??_ ;_-@_ "/>
    <numFmt numFmtId="166" formatCode="_ [$₪-40D]\ * #,##0.00_ ;_ [$₪-40D]\ * \-#,##0.00_ ;_ [$₪-40D]\ * &quot;-&quot;??_ ;_ @_ "/>
  </numFmts>
  <fonts count="31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24"/>
      <color theme="1"/>
      <name val="Arial"/>
      <family val="2"/>
    </font>
    <font>
      <sz val="12"/>
      <color theme="1"/>
      <name val="Arial"/>
      <family val="2"/>
    </font>
    <font>
      <b/>
      <u/>
      <sz val="24"/>
      <color theme="1"/>
      <name val="Arial"/>
      <family val="2"/>
    </font>
    <font>
      <sz val="26"/>
      <color theme="1"/>
      <name val="Arial"/>
      <family val="2"/>
    </font>
    <font>
      <sz val="9"/>
      <color theme="1"/>
      <name val="Calibri"/>
      <family val="2"/>
      <scheme val="minor"/>
    </font>
    <font>
      <sz val="10"/>
      <name val="Arial"/>
      <family val="2"/>
    </font>
    <font>
      <b/>
      <sz val="24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6"/>
      <color theme="0"/>
      <name val="Calibri"/>
      <family val="2"/>
      <scheme val="minor"/>
    </font>
    <font>
      <b/>
      <sz val="6"/>
      <color rgb="FFFF0000"/>
      <name val="Calibri"/>
      <family val="2"/>
      <scheme val="minor"/>
    </font>
    <font>
      <sz val="6"/>
      <color rgb="FFFF0000"/>
      <name val="Calibri"/>
      <family val="2"/>
      <scheme val="minor"/>
    </font>
    <font>
      <sz val="6"/>
      <color theme="1"/>
      <name val="Calibri"/>
      <family val="2"/>
      <scheme val="minor"/>
    </font>
    <font>
      <u/>
      <sz val="6"/>
      <color theme="10"/>
      <name val="Calibri"/>
      <family val="2"/>
      <scheme val="minor"/>
    </font>
    <font>
      <sz val="12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0" fontId="3" fillId="0" borderId="0"/>
    <xf numFmtId="0" fontId="6" fillId="0" borderId="0" applyNumberForma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20" fillId="0" borderId="0"/>
    <xf numFmtId="0" fontId="24" fillId="0" borderId="0" applyNumberFormat="0" applyFill="0" applyBorder="0" applyAlignment="0" applyProtection="0"/>
  </cellStyleXfs>
  <cellXfs count="105">
    <xf numFmtId="0" fontId="0" fillId="0" borderId="0" xfId="0"/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6" fillId="0" borderId="3" xfId="7" applyBorder="1"/>
    <xf numFmtId="0" fontId="2" fillId="0" borderId="0" xfId="6" applyFont="1"/>
    <xf numFmtId="0" fontId="0" fillId="0" borderId="0" xfId="0" applyAlignment="1">
      <alignment readingOrder="2"/>
    </xf>
    <xf numFmtId="0" fontId="0" fillId="0" borderId="0" xfId="0" applyAlignment="1">
      <alignment horizontal="right" readingOrder="2"/>
    </xf>
    <xf numFmtId="0" fontId="0" fillId="0" borderId="0" xfId="0" applyAlignment="1">
      <alignment horizontal="right"/>
    </xf>
    <xf numFmtId="0" fontId="0" fillId="0" borderId="0" xfId="0" applyAlignment="1">
      <alignment horizontal="right" readingOrder="2"/>
    </xf>
    <xf numFmtId="14" fontId="0" fillId="0" borderId="0" xfId="0" applyNumberFormat="1"/>
    <xf numFmtId="0" fontId="5" fillId="0" borderId="0" xfId="0" applyFont="1" applyAlignment="1">
      <alignment horizontal="right"/>
    </xf>
    <xf numFmtId="0" fontId="8" fillId="0" borderId="0" xfId="0" applyFont="1" applyBorder="1" applyAlignment="1">
      <alignment vertical="center" readingOrder="2"/>
    </xf>
    <xf numFmtId="0" fontId="0" fillId="0" borderId="0" xfId="0" applyAlignment="1">
      <alignment wrapText="1"/>
    </xf>
    <xf numFmtId="0" fontId="9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9" fontId="0" fillId="0" borderId="0" xfId="0" applyNumberFormat="1" applyAlignment="1">
      <alignment wrapText="1"/>
    </xf>
    <xf numFmtId="0" fontId="5" fillId="0" borderId="0" xfId="0" applyFont="1"/>
    <xf numFmtId="0" fontId="10" fillId="0" borderId="0" xfId="0" applyFont="1" applyAlignment="1">
      <alignment readingOrder="2"/>
    </xf>
    <xf numFmtId="0" fontId="7" fillId="2" borderId="0" xfId="0" applyFont="1" applyFill="1" applyAlignment="1">
      <alignment horizontal="center" vertical="center" wrapText="1"/>
    </xf>
    <xf numFmtId="0" fontId="7" fillId="2" borderId="1" xfId="6" applyFont="1" applyFill="1" applyBorder="1" applyAlignment="1">
      <alignment horizontal="center" vertical="center" wrapText="1"/>
    </xf>
    <xf numFmtId="0" fontId="7" fillId="2" borderId="2" xfId="6" applyFont="1" applyFill="1" applyBorder="1" applyAlignment="1">
      <alignment horizontal="center" vertical="center" wrapText="1"/>
    </xf>
    <xf numFmtId="0" fontId="0" fillId="0" borderId="4" xfId="0" applyBorder="1"/>
    <xf numFmtId="0" fontId="0" fillId="0" borderId="5" xfId="0" applyBorder="1"/>
    <xf numFmtId="0" fontId="0" fillId="0" borderId="0" xfId="0" applyFont="1" applyAlignment="1">
      <alignment wrapText="1"/>
    </xf>
    <xf numFmtId="0" fontId="0" fillId="0" borderId="0" xfId="0" applyAlignment="1">
      <alignment horizontal="center" vertical="center"/>
    </xf>
    <xf numFmtId="0" fontId="1" fillId="0" borderId="0" xfId="6" applyFont="1"/>
    <xf numFmtId="0" fontId="7" fillId="0" borderId="0" xfId="0" applyFont="1"/>
    <xf numFmtId="0" fontId="0" fillId="4" borderId="0" xfId="0" applyFill="1"/>
    <xf numFmtId="0" fontId="0" fillId="5" borderId="0" xfId="0" applyFill="1"/>
    <xf numFmtId="0" fontId="0" fillId="3" borderId="0" xfId="0" applyFill="1"/>
    <xf numFmtId="0" fontId="0" fillId="3" borderId="0" xfId="0" applyFill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5" xfId="0" applyFill="1" applyBorder="1"/>
    <xf numFmtId="0" fontId="11" fillId="3" borderId="4" xfId="0" applyFont="1" applyFill="1" applyBorder="1" applyAlignment="1">
      <alignment horizontal="center" vertical="center"/>
    </xf>
    <xf numFmtId="0" fontId="11" fillId="5" borderId="7" xfId="0" applyFont="1" applyFill="1" applyBorder="1" applyAlignment="1">
      <alignment horizontal="center" vertical="center"/>
    </xf>
    <xf numFmtId="14" fontId="1" fillId="5" borderId="8" xfId="0" applyNumberFormat="1" applyFont="1" applyFill="1" applyBorder="1" applyAlignment="1">
      <alignment horizontal="center" vertical="center"/>
    </xf>
    <xf numFmtId="0" fontId="12" fillId="4" borderId="0" xfId="0" applyFont="1" applyFill="1"/>
    <xf numFmtId="0" fontId="12" fillId="5" borderId="0" xfId="0" applyFont="1" applyFill="1"/>
    <xf numFmtId="0" fontId="1" fillId="3" borderId="0" xfId="0" applyFont="1" applyFill="1"/>
    <xf numFmtId="0" fontId="1" fillId="3" borderId="6" xfId="0" applyFont="1" applyFill="1" applyBorder="1"/>
    <xf numFmtId="0" fontId="1" fillId="5" borderId="8" xfId="0" applyNumberFormat="1" applyFont="1" applyFill="1" applyBorder="1" applyAlignment="1">
      <alignment horizontal="center" vertical="center"/>
    </xf>
    <xf numFmtId="0" fontId="0" fillId="6" borderId="12" xfId="0" applyFont="1" applyFill="1" applyBorder="1"/>
    <xf numFmtId="0" fontId="9" fillId="7" borderId="10" xfId="0" applyFont="1" applyFill="1" applyBorder="1" applyAlignment="1">
      <alignment horizontal="center" vertical="center" wrapText="1"/>
    </xf>
    <xf numFmtId="0" fontId="14" fillId="0" borderId="0" xfId="0" applyFont="1"/>
    <xf numFmtId="0" fontId="14" fillId="0" borderId="0" xfId="0" applyNumberFormat="1" applyFont="1"/>
    <xf numFmtId="0" fontId="0" fillId="0" borderId="0" xfId="0" applyAlignment="1">
      <alignment horizontal="right" readingOrder="2"/>
    </xf>
    <xf numFmtId="0" fontId="0" fillId="0" borderId="0" xfId="0" applyFont="1"/>
    <xf numFmtId="0" fontId="16" fillId="0" borderId="0" xfId="0" applyFont="1"/>
    <xf numFmtId="14" fontId="15" fillId="0" borderId="0" xfId="0" applyNumberFormat="1" applyFont="1" applyAlignment="1">
      <alignment horizontal="left" readingOrder="2"/>
    </xf>
    <xf numFmtId="0" fontId="16" fillId="0" borderId="0" xfId="0" applyFont="1" applyAlignment="1">
      <alignment horizontal="right"/>
    </xf>
    <xf numFmtId="0" fontId="16" fillId="0" borderId="0" xfId="0" applyFont="1" applyAlignment="1">
      <alignment horizontal="right" readingOrder="2"/>
    </xf>
    <xf numFmtId="0" fontId="15" fillId="0" borderId="0" xfId="0" applyFont="1" applyAlignment="1">
      <alignment horizontal="right" readingOrder="2"/>
    </xf>
    <xf numFmtId="0" fontId="15" fillId="0" borderId="0" xfId="0" applyFont="1"/>
    <xf numFmtId="0" fontId="18" fillId="0" borderId="0" xfId="0" applyFont="1"/>
    <xf numFmtId="0" fontId="5" fillId="3" borderId="14" xfId="0" applyFont="1" applyFill="1" applyBorder="1"/>
    <xf numFmtId="0" fontId="0" fillId="3" borderId="14" xfId="0" applyFill="1" applyBorder="1"/>
    <xf numFmtId="0" fontId="7" fillId="2" borderId="0" xfId="0" applyFont="1" applyFill="1" applyAlignment="1">
      <alignment horizontal="center" vertical="center" wrapText="1" readingOrder="2"/>
    </xf>
    <xf numFmtId="0" fontId="0" fillId="8" borderId="12" xfId="0" applyFont="1" applyFill="1" applyBorder="1"/>
    <xf numFmtId="0" fontId="9" fillId="2" borderId="15" xfId="0" applyFont="1" applyFill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0" fillId="0" borderId="0" xfId="0" applyNumberFormat="1" applyAlignment="1">
      <alignment horizontal="right" readingOrder="2"/>
    </xf>
    <xf numFmtId="0" fontId="19" fillId="0" borderId="0" xfId="0" applyNumberFormat="1" applyFont="1"/>
    <xf numFmtId="0" fontId="19" fillId="0" borderId="0" xfId="0" applyNumberFormat="1" applyFont="1" applyBorder="1"/>
    <xf numFmtId="0" fontId="9" fillId="7" borderId="10" xfId="0" applyFont="1" applyFill="1" applyBorder="1" applyAlignment="1">
      <alignment horizontal="center" vertical="center"/>
    </xf>
    <xf numFmtId="0" fontId="9" fillId="2" borderId="1" xfId="6" applyNumberFormat="1" applyFont="1" applyFill="1" applyBorder="1" applyAlignment="1">
      <alignment horizontal="center" vertical="center" wrapText="1"/>
    </xf>
    <xf numFmtId="0" fontId="9" fillId="2" borderId="2" xfId="6" applyNumberFormat="1" applyFont="1" applyFill="1" applyBorder="1" applyAlignment="1">
      <alignment horizontal="center" vertical="center" wrapText="1"/>
    </xf>
    <xf numFmtId="0" fontId="0" fillId="8" borderId="0" xfId="0" applyFont="1" applyFill="1" applyBorder="1"/>
    <xf numFmtId="0" fontId="9" fillId="7" borderId="10" xfId="6" applyNumberFormat="1" applyFont="1" applyFill="1" applyBorder="1" applyAlignment="1">
      <alignment horizontal="center" vertical="center" wrapText="1"/>
    </xf>
    <xf numFmtId="0" fontId="22" fillId="0" borderId="0" xfId="0" applyFont="1"/>
    <xf numFmtId="0" fontId="23" fillId="0" borderId="0" xfId="0" applyFont="1"/>
    <xf numFmtId="0" fontId="25" fillId="0" borderId="9" xfId="0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5" fillId="0" borderId="10" xfId="0" applyFont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27" fillId="2" borderId="1" xfId="6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27" fillId="2" borderId="2" xfId="6" applyFont="1" applyFill="1" applyBorder="1" applyAlignment="1">
      <alignment horizontal="center" vertical="center" wrapText="1"/>
    </xf>
    <xf numFmtId="0" fontId="26" fillId="0" borderId="10" xfId="6" applyFont="1" applyFill="1" applyBorder="1" applyAlignment="1">
      <alignment horizontal="center" vertical="center" wrapText="1"/>
    </xf>
    <xf numFmtId="0" fontId="28" fillId="0" borderId="0" xfId="0" applyFont="1"/>
    <xf numFmtId="14" fontId="28" fillId="0" borderId="0" xfId="0" applyNumberFormat="1" applyFont="1"/>
    <xf numFmtId="165" fontId="28" fillId="0" borderId="0" xfId="0" applyNumberFormat="1" applyFont="1"/>
    <xf numFmtId="9" fontId="28" fillId="0" borderId="0" xfId="0" applyNumberFormat="1" applyFont="1"/>
    <xf numFmtId="166" fontId="28" fillId="0" borderId="0" xfId="0" applyNumberFormat="1" applyFont="1"/>
    <xf numFmtId="166" fontId="28" fillId="0" borderId="0" xfId="1" applyNumberFormat="1" applyFont="1"/>
    <xf numFmtId="0" fontId="29" fillId="0" borderId="3" xfId="11" applyFont="1" applyBorder="1"/>
    <xf numFmtId="0" fontId="28" fillId="0" borderId="0" xfId="0" applyNumberFormat="1" applyFont="1"/>
    <xf numFmtId="165" fontId="28" fillId="0" borderId="0" xfId="1" applyNumberFormat="1" applyFont="1"/>
    <xf numFmtId="0" fontId="28" fillId="6" borderId="11" xfId="0" applyFont="1" applyFill="1" applyBorder="1"/>
    <xf numFmtId="0" fontId="28" fillId="0" borderId="0" xfId="0" applyNumberFormat="1" applyFont="1" applyBorder="1"/>
    <xf numFmtId="0" fontId="0" fillId="3" borderId="6" xfId="0" applyFill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/>
    </xf>
    <xf numFmtId="0" fontId="9" fillId="2" borderId="5" xfId="0" applyFont="1" applyFill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25" fillId="7" borderId="10" xfId="0" applyFont="1" applyFill="1" applyBorder="1" applyAlignment="1">
      <alignment horizontal="center" vertical="center" wrapText="1"/>
    </xf>
    <xf numFmtId="0" fontId="30" fillId="0" borderId="0" xfId="0" applyFont="1"/>
    <xf numFmtId="0" fontId="7" fillId="5" borderId="7" xfId="0" applyFont="1" applyFill="1" applyBorder="1" applyAlignment="1">
      <alignment horizontal="right"/>
    </xf>
    <xf numFmtId="0" fontId="7" fillId="5" borderId="13" xfId="0" applyFont="1" applyFill="1" applyBorder="1" applyAlignment="1">
      <alignment horizontal="right"/>
    </xf>
    <xf numFmtId="0" fontId="7" fillId="5" borderId="8" xfId="0" applyFont="1" applyFill="1" applyBorder="1" applyAlignment="1">
      <alignment horizontal="right"/>
    </xf>
    <xf numFmtId="0" fontId="15" fillId="0" borderId="0" xfId="0" applyFont="1" applyAlignment="1">
      <alignment horizontal="right" wrapText="1" readingOrder="2"/>
    </xf>
    <xf numFmtId="0" fontId="15" fillId="0" borderId="0" xfId="0" applyFont="1" applyAlignment="1">
      <alignment horizontal="right" readingOrder="2"/>
    </xf>
    <xf numFmtId="0" fontId="17" fillId="0" borderId="0" xfId="0" applyFont="1" applyBorder="1" applyAlignment="1">
      <alignment horizontal="center" vertical="center" readingOrder="2"/>
    </xf>
    <xf numFmtId="0" fontId="0" fillId="0" borderId="0" xfId="0" applyFont="1" applyAlignment="1">
      <alignment horizontal="right" readingOrder="2"/>
    </xf>
    <xf numFmtId="0" fontId="21" fillId="0" borderId="0" xfId="0" applyFont="1" applyAlignment="1">
      <alignment horizontal="right" wrapText="1" readingOrder="2"/>
    </xf>
    <xf numFmtId="0" fontId="21" fillId="0" borderId="0" xfId="0" applyFont="1" applyAlignment="1">
      <alignment horizontal="right" readingOrder="2"/>
    </xf>
  </cellXfs>
  <cellStyles count="12">
    <cellStyle name="$" xfId="10" xr:uid="{12CD0882-3CAA-40EB-9EBA-4F37F26D2677}"/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Currency 2" xfId="9" xr:uid="{55AEC513-CD39-44D2-A602-847BC8BD5643}"/>
    <cellStyle name="Hyperlink" xfId="11" builtinId="8"/>
    <cellStyle name="Normal" xfId="0" builtinId="0"/>
    <cellStyle name="Normal 2" xfId="6" xr:uid="{3A9339E1-9D2D-441F-968D-0786DB5DDBBC}"/>
    <cellStyle name="Normal 3" xfId="8" xr:uid="{A1B22A9B-C31B-4E5E-BB62-1FCE5B49E812}"/>
    <cellStyle name="Percent" xfId="1" xr:uid="{00000000-0005-0000-0000-000001000000}"/>
    <cellStyle name="היפר-קישור 2" xfId="7" xr:uid="{9C401E7E-3D28-493B-A334-935375A718FF}"/>
  </cellStyles>
  <dxfs count="45">
    <dxf>
      <font>
        <strike val="0"/>
        <outline val="0"/>
        <shadow val="0"/>
        <u val="none"/>
        <vertAlign val="baseline"/>
        <sz val="6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6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6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6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vertAlign val="baseline"/>
        <sz val="6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sz val="6"/>
        <name val="Calibri"/>
        <family val="2"/>
        <scheme val="minor"/>
      </font>
    </dxf>
    <dxf>
      <font>
        <strike val="0"/>
        <outline val="0"/>
        <shadow val="0"/>
        <vertAlign val="baseline"/>
        <sz val="6"/>
        <name val="Calibri"/>
        <family val="2"/>
        <scheme val="minor"/>
      </font>
      <numFmt numFmtId="13" formatCode="0%"/>
    </dxf>
    <dxf>
      <font>
        <strike val="0"/>
        <outline val="0"/>
        <shadow val="0"/>
        <vertAlign val="baseline"/>
        <sz val="6"/>
        <name val="Calibri"/>
        <family val="2"/>
        <scheme val="minor"/>
      </font>
      <numFmt numFmtId="13" formatCode="0%"/>
    </dxf>
    <dxf>
      <font>
        <strike val="0"/>
        <outline val="0"/>
        <shadow val="0"/>
        <vertAlign val="baseline"/>
        <sz val="6"/>
        <name val="Calibri"/>
        <family val="2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Calibri"/>
        <family val="2"/>
        <scheme val="minor"/>
      </font>
      <numFmt numFmtId="166" formatCode="_ [$₪-40D]\ * #,##0.00_ ;_ [$₪-40D]\ * \-#,##0.00_ ;_ [$₪-40D]\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Calibri"/>
        <family val="2"/>
        <scheme val="minor"/>
      </font>
      <numFmt numFmtId="166" formatCode="_ [$₪-40D]\ * #,##0.00_ ;_ [$₪-40D]\ * \-#,##0.00_ ;_ [$₪-40D]\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Calibri"/>
        <family val="2"/>
        <scheme val="minor"/>
      </font>
      <numFmt numFmtId="166" formatCode="_ [$₪-40D]\ * #,##0.00_ ;_ [$₪-40D]\ * \-#,##0.00_ ;_ [$₪-40D]\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Calibri"/>
        <family val="2"/>
        <scheme val="minor"/>
      </font>
      <numFmt numFmtId="166" formatCode="_ [$₪-40D]\ * #,##0.00_ ;_ [$₪-40D]\ * \-#,##0.00_ ;_ [$₪-40D]\ * &quot;-&quot;??_ ;_ @_ "/>
    </dxf>
    <dxf>
      <font>
        <strike val="0"/>
        <outline val="0"/>
        <shadow val="0"/>
        <vertAlign val="baseline"/>
        <sz val="6"/>
        <name val="Calibri"/>
        <family val="2"/>
        <scheme val="minor"/>
      </font>
      <numFmt numFmtId="166" formatCode="_ [$₪-40D]\ * #,##0.00_ ;_ [$₪-40D]\ * \-#,##0.00_ ;_ [$₪-40D]\ * &quot;-&quot;??_ ;_ @_ "/>
    </dxf>
    <dxf>
      <font>
        <strike val="0"/>
        <outline val="0"/>
        <shadow val="0"/>
        <vertAlign val="baseline"/>
        <sz val="6"/>
        <name val="Calibri"/>
        <family val="2"/>
        <scheme val="minor"/>
      </font>
      <numFmt numFmtId="13" formatCode="0%"/>
    </dxf>
    <dxf>
      <font>
        <strike val="0"/>
        <outline val="0"/>
        <shadow val="0"/>
        <vertAlign val="baseline"/>
        <sz val="6"/>
        <name val="Calibri"/>
        <family val="2"/>
        <scheme val="minor"/>
      </font>
      <numFmt numFmtId="166" formatCode="_ [$₪-40D]\ * #,##0.00_ ;_ [$₪-40D]\ * \-#,##0.00_ ;_ [$₪-40D]\ * &quot;-&quot;??_ ;_ @_ "/>
    </dxf>
    <dxf>
      <font>
        <strike val="0"/>
        <outline val="0"/>
        <shadow val="0"/>
        <vertAlign val="baseline"/>
        <sz val="6"/>
        <name val="Calibri"/>
        <family val="2"/>
        <scheme val="minor"/>
      </font>
      <numFmt numFmtId="13" formatCode="0%"/>
    </dxf>
    <dxf>
      <font>
        <strike val="0"/>
        <outline val="0"/>
        <shadow val="0"/>
        <vertAlign val="baseline"/>
        <sz val="6"/>
        <name val="Calibri"/>
        <family val="2"/>
        <scheme val="minor"/>
      </font>
      <numFmt numFmtId="165" formatCode="_-[$$-409]* #,##0.00_ ;_-[$$-409]* \-#,##0.00\ ;_-[$$-409]* &quot;-&quot;??_ ;_-@_ "/>
    </dxf>
    <dxf>
      <font>
        <strike val="0"/>
        <outline val="0"/>
        <shadow val="0"/>
        <vertAlign val="baseline"/>
        <sz val="6"/>
        <name val="Calibri"/>
        <family val="2"/>
        <scheme val="minor"/>
      </font>
      <numFmt numFmtId="165" formatCode="_-[$$-409]* #,##0.00_ ;_-[$$-409]* \-#,##0.00\ ;_-[$$-409]* &quot;-&quot;??_ ;_-@_ "/>
    </dxf>
    <dxf>
      <font>
        <strike val="0"/>
        <outline val="0"/>
        <shadow val="0"/>
        <vertAlign val="baseline"/>
        <sz val="6"/>
        <name val="Calibri"/>
        <family val="2"/>
        <scheme val="minor"/>
      </font>
    </dxf>
    <dxf>
      <font>
        <strike val="0"/>
        <outline val="0"/>
        <shadow val="0"/>
        <vertAlign val="baseline"/>
        <sz val="6"/>
        <name val="Calibri"/>
        <family val="2"/>
        <scheme val="minor"/>
      </font>
      <numFmt numFmtId="165" formatCode="_-[$$-409]* #,##0.00_ ;_-[$$-409]* \-#,##0.00\ ;_-[$$-409]* &quot;-&quot;??_ ;_-@_ "/>
    </dxf>
    <dxf>
      <font>
        <strike val="0"/>
        <outline val="0"/>
        <shadow val="0"/>
        <vertAlign val="baseline"/>
        <sz val="6"/>
        <name val="Calibri"/>
        <family val="2"/>
        <scheme val="minor"/>
      </font>
      <numFmt numFmtId="19" formatCode="dd/mm/yyyy"/>
    </dxf>
    <dxf>
      <font>
        <strike val="0"/>
        <outline val="0"/>
        <shadow val="0"/>
        <vertAlign val="baseline"/>
        <sz val="6"/>
        <name val="Calibri"/>
        <family val="2"/>
        <scheme val="minor"/>
      </font>
      <numFmt numFmtId="165" formatCode="_-[$$-409]* #,##0.00_ ;_-[$$-409]* \-#,##0.00\ ;_-[$$-409]* &quot;-&quot;??_ ;_-@_ "/>
    </dxf>
    <dxf>
      <font>
        <strike val="0"/>
        <outline val="0"/>
        <shadow val="0"/>
        <vertAlign val="baseline"/>
        <sz val="6"/>
        <name val="Calibri"/>
        <family val="2"/>
        <scheme val="minor"/>
      </font>
      <numFmt numFmtId="165" formatCode="_-[$$-409]* #,##0.00_ ;_-[$$-409]* \-#,##0.00\ ;_-[$$-409]* &quot;-&quot;??_ ;_-@_ "/>
    </dxf>
    <dxf>
      <font>
        <strike val="0"/>
        <outline val="0"/>
        <shadow val="0"/>
        <vertAlign val="baseline"/>
        <sz val="6"/>
        <name val="Calibri"/>
        <family val="2"/>
        <scheme val="minor"/>
      </font>
      <numFmt numFmtId="19" formatCode="dd/mm/yyyy"/>
    </dxf>
    <dxf>
      <font>
        <strike val="0"/>
        <outline val="0"/>
        <shadow val="0"/>
        <vertAlign val="baseline"/>
        <sz val="6"/>
        <name val="Calibri"/>
        <family val="2"/>
        <scheme val="minor"/>
      </font>
    </dxf>
    <dxf>
      <font>
        <strike val="0"/>
        <outline val="0"/>
        <shadow val="0"/>
        <vertAlign val="baseline"/>
        <sz val="6"/>
        <name val="Calibri"/>
        <family val="2"/>
        <scheme val="minor"/>
      </font>
      <numFmt numFmtId="19" formatCode="dd/mm/yyyy"/>
    </dxf>
    <dxf>
      <font>
        <strike val="0"/>
        <outline val="0"/>
        <shadow val="0"/>
        <vertAlign val="baseline"/>
        <sz val="6"/>
        <name val="Calibri"/>
        <family val="2"/>
        <scheme val="minor"/>
      </font>
      <numFmt numFmtId="19" formatCode="dd/mm/yyyy"/>
    </dxf>
    <dxf>
      <font>
        <strike val="0"/>
        <outline val="0"/>
        <shadow val="0"/>
        <vertAlign val="baseline"/>
        <sz val="6"/>
        <name val="Calibri"/>
        <family val="2"/>
        <scheme val="minor"/>
      </font>
    </dxf>
    <dxf>
      <font>
        <strike val="0"/>
        <outline val="0"/>
        <shadow val="0"/>
        <vertAlign val="baseline"/>
        <sz val="6"/>
        <name val="Calibri"/>
        <family val="2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border outline="0">
        <left style="thin">
          <color theme="0"/>
        </left>
      </border>
    </dxf>
    <dxf>
      <font>
        <strike val="0"/>
        <outline val="0"/>
        <shadow val="0"/>
        <vertAlign val="baseline"/>
        <sz val="6"/>
        <name val="Calibri"/>
        <family val="2"/>
        <scheme val="minor"/>
      </font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6"/>
        <color rgb="FFFF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jp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177362</xdr:rowOff>
    </xdr:from>
    <xdr:to>
      <xdr:col>5</xdr:col>
      <xdr:colOff>1293057</xdr:colOff>
      <xdr:row>14</xdr:row>
      <xdr:rowOff>123096</xdr:rowOff>
    </xdr:to>
    <xdr:grpSp>
      <xdr:nvGrpSpPr>
        <xdr:cNvPr id="3" name="קבוצה 2">
          <a:extLst>
            <a:ext uri="{FF2B5EF4-FFF2-40B4-BE49-F238E27FC236}">
              <a16:creationId xmlns:a16="http://schemas.microsoft.com/office/drawing/2014/main" id="{803097B5-41F0-4692-90B1-79F8E3CA11C0}"/>
            </a:ext>
          </a:extLst>
        </xdr:cNvPr>
        <xdr:cNvGrpSpPr/>
      </xdr:nvGrpSpPr>
      <xdr:grpSpPr>
        <a:xfrm>
          <a:off x="11053302200" y="177362"/>
          <a:ext cx="3013000" cy="2754248"/>
          <a:chOff x="12478585101" y="229913"/>
          <a:chExt cx="3150946" cy="2595543"/>
        </a:xfrm>
      </xdr:grpSpPr>
      <xdr:sp macro="[0]!RunClientsDataIn" textlink="">
        <xdr:nvSpPr>
          <xdr:cNvPr id="2" name="מלבן: פינות מעוגלות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12480357879" y="229913"/>
            <a:ext cx="1354521" cy="521694"/>
          </a:xfrm>
          <a:prstGeom prst="round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 rtl="1"/>
            <a:r>
              <a:rPr lang="he-IL" sz="1600" b="1">
                <a:cs typeface="+mj-cs"/>
              </a:rPr>
              <a:t>הפק</a:t>
            </a:r>
            <a:r>
              <a:rPr lang="he-IL" sz="1600" b="1" baseline="0">
                <a:cs typeface="+mj-cs"/>
              </a:rPr>
              <a:t> דוחות</a:t>
            </a:r>
            <a:endParaRPr lang="en-IL" sz="1600" b="1">
              <a:cs typeface="+mj-cs"/>
            </a:endParaRPr>
          </a:p>
        </xdr:txBody>
      </xdr:sp>
      <xdr:sp macro="[0]!RunCall" textlink="">
        <xdr:nvSpPr>
          <xdr:cNvPr id="7" name="מלבן: פינות מעוגלות 6">
            <a:extLst>
              <a:ext uri="{FF2B5EF4-FFF2-40B4-BE49-F238E27FC236}">
                <a16:creationId xmlns:a16="http://schemas.microsoft.com/office/drawing/2014/main" id="{32D3F55C-AD99-4F49-B1C1-2368BCB727D1}"/>
              </a:ext>
            </a:extLst>
          </xdr:cNvPr>
          <xdr:cNvSpPr/>
        </xdr:nvSpPr>
        <xdr:spPr>
          <a:xfrm>
            <a:off x="12479420280" y="870151"/>
            <a:ext cx="1354521" cy="528263"/>
          </a:xfrm>
          <a:prstGeom prst="round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 rtl="1"/>
            <a:r>
              <a:rPr lang="he-IL" sz="1600" b="1">
                <a:cs typeface="+mj-cs"/>
              </a:rPr>
              <a:t>הצפנה</a:t>
            </a:r>
            <a:endParaRPr lang="en-IL" sz="1600" b="1">
              <a:cs typeface="+mj-cs"/>
            </a:endParaRPr>
          </a:p>
        </xdr:txBody>
      </xdr:sp>
      <xdr:sp macro="[0]!MakeMail" textlink="">
        <xdr:nvSpPr>
          <xdr:cNvPr id="8" name="מלבן: פינות מעוגלות 7">
            <a:extLst>
              <a:ext uri="{FF2B5EF4-FFF2-40B4-BE49-F238E27FC236}">
                <a16:creationId xmlns:a16="http://schemas.microsoft.com/office/drawing/2014/main" id="{A78BFD08-E252-40A7-B85B-B4B77EA2F172}"/>
              </a:ext>
            </a:extLst>
          </xdr:cNvPr>
          <xdr:cNvSpPr/>
        </xdr:nvSpPr>
        <xdr:spPr>
          <a:xfrm>
            <a:off x="12480381526" y="1559393"/>
            <a:ext cx="1354521" cy="521694"/>
          </a:xfrm>
          <a:prstGeom prst="round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 rtl="1"/>
            <a:r>
              <a:rPr lang="he-IL" sz="1600" b="1">
                <a:cs typeface="+mj-cs"/>
              </a:rPr>
              <a:t>שליחת</a:t>
            </a:r>
            <a:r>
              <a:rPr lang="he-IL" sz="1600" b="1" baseline="0">
                <a:cs typeface="+mj-cs"/>
              </a:rPr>
              <a:t> מיילים</a:t>
            </a:r>
            <a:endParaRPr lang="en-IL" sz="1600" b="1">
              <a:cs typeface="+mj-cs"/>
            </a:endParaRPr>
          </a:p>
        </xdr:txBody>
      </xdr:sp>
      <xdr:sp macro="[0]!MakeAllAtOnce" textlink="">
        <xdr:nvSpPr>
          <xdr:cNvPr id="9" name="מלבן: פינות מעוגלות 8">
            <a:extLst>
              <a:ext uri="{FF2B5EF4-FFF2-40B4-BE49-F238E27FC236}">
                <a16:creationId xmlns:a16="http://schemas.microsoft.com/office/drawing/2014/main" id="{9DC6A6A0-E9D0-43C9-B79F-4DD9D17CEB0A}"/>
              </a:ext>
            </a:extLst>
          </xdr:cNvPr>
          <xdr:cNvSpPr/>
        </xdr:nvSpPr>
        <xdr:spPr>
          <a:xfrm>
            <a:off x="12479472395" y="2303762"/>
            <a:ext cx="1354521" cy="521694"/>
          </a:xfrm>
          <a:prstGeom prst="round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 rtl="1"/>
            <a:r>
              <a:rPr lang="he-IL" sz="1600" b="1">
                <a:cs typeface="+mj-cs"/>
              </a:rPr>
              <a:t>ריצה מלאה</a:t>
            </a:r>
            <a:endParaRPr lang="en-IL" sz="1600" b="1">
              <a:cs typeface="+mj-cs"/>
            </a:endParaRPr>
          </a:p>
        </xdr:txBody>
      </xdr:sp>
      <xdr:sp macro="[0]!RunClientsDataInSecondRun" textlink="">
        <xdr:nvSpPr>
          <xdr:cNvPr id="10" name="מלבן: פינות מעוגלות 9">
            <a:extLst>
              <a:ext uri="{FF2B5EF4-FFF2-40B4-BE49-F238E27FC236}">
                <a16:creationId xmlns:a16="http://schemas.microsoft.com/office/drawing/2014/main" id="{119013CD-B36E-44E1-B691-F1ADFA0E8760}"/>
              </a:ext>
            </a:extLst>
          </xdr:cNvPr>
          <xdr:cNvSpPr/>
        </xdr:nvSpPr>
        <xdr:spPr>
          <a:xfrm>
            <a:off x="12478585101" y="236172"/>
            <a:ext cx="1354521" cy="521694"/>
          </a:xfrm>
          <a:prstGeom prst="round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 rtl="1"/>
            <a:r>
              <a:rPr lang="he-IL" sz="1600" b="1">
                <a:cs typeface="+mj-cs"/>
              </a:rPr>
              <a:t>הפק</a:t>
            </a:r>
            <a:r>
              <a:rPr lang="he-IL" sz="1600" b="1" baseline="0">
                <a:cs typeface="+mj-cs"/>
              </a:rPr>
              <a:t> דוחות טבלה</a:t>
            </a:r>
            <a:endParaRPr lang="en-IL" sz="1600" b="1">
              <a:cs typeface="+mj-cs"/>
            </a:endParaRPr>
          </a:p>
        </xdr:txBody>
      </xdr:sp>
      <xdr:sp macro="[0]!MakeMailSecond" textlink="">
        <xdr:nvSpPr>
          <xdr:cNvPr id="12" name="מלבן: פינות מעוגלות 11">
            <a:extLst>
              <a:ext uri="{FF2B5EF4-FFF2-40B4-BE49-F238E27FC236}">
                <a16:creationId xmlns:a16="http://schemas.microsoft.com/office/drawing/2014/main" id="{7688C85A-EDC4-4582-B7AB-11061825CB1B}"/>
              </a:ext>
            </a:extLst>
          </xdr:cNvPr>
          <xdr:cNvSpPr/>
        </xdr:nvSpPr>
        <xdr:spPr>
          <a:xfrm>
            <a:off x="12478623582" y="1553134"/>
            <a:ext cx="1338685" cy="660721"/>
          </a:xfrm>
          <a:prstGeom prst="round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 rtl="1"/>
            <a:r>
              <a:rPr lang="he-IL" sz="1600" b="1">
                <a:cs typeface="+mj-cs"/>
              </a:rPr>
              <a:t>שליחת</a:t>
            </a:r>
            <a:r>
              <a:rPr lang="he-IL" sz="1600" b="1" baseline="0">
                <a:cs typeface="+mj-cs"/>
              </a:rPr>
              <a:t> מיילים טבלה מרכזת</a:t>
            </a:r>
            <a:endParaRPr lang="en-IL" sz="1600" b="1">
              <a:cs typeface="+mj-cs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</xdr:row>
      <xdr:rowOff>0</xdr:rowOff>
    </xdr:from>
    <xdr:to>
      <xdr:col>7</xdr:col>
      <xdr:colOff>747183</xdr:colOff>
      <xdr:row>7</xdr:row>
      <xdr:rowOff>76868</xdr:rowOff>
    </xdr:to>
    <xdr:pic>
      <xdr:nvPicPr>
        <xdr:cNvPr id="39" name="Picture_1">
          <a:extLst>
            <a:ext uri="{FF2B5EF4-FFF2-40B4-BE49-F238E27FC236}">
              <a16:creationId xmlns:a16="http://schemas.microsoft.com/office/drawing/2014/main" id="{9DE9DFF5-DCE2-4F7E-8F2B-A4EF4A0F50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58035650" y="201083"/>
          <a:ext cx="3657600" cy="128336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66</xdr:row>
      <xdr:rowOff>0</xdr:rowOff>
    </xdr:from>
    <xdr:to>
      <xdr:col>5</xdr:col>
      <xdr:colOff>1214967</xdr:colOff>
      <xdr:row>74</xdr:row>
      <xdr:rowOff>58843</xdr:rowOff>
    </xdr:to>
    <xdr:pic>
      <xdr:nvPicPr>
        <xdr:cNvPr id="40" name="Picture_2">
          <a:extLst>
            <a:ext uri="{FF2B5EF4-FFF2-40B4-BE49-F238E27FC236}">
              <a16:creationId xmlns:a16="http://schemas.microsoft.com/office/drawing/2014/main" id="{139FD879-2297-4608-A443-EBCA8D331FF3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268955534" y="15610417"/>
          <a:ext cx="6686550" cy="166751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</xdr:row>
      <xdr:rowOff>0</xdr:rowOff>
    </xdr:from>
    <xdr:to>
      <xdr:col>11</xdr:col>
      <xdr:colOff>609600</xdr:colOff>
      <xdr:row>7</xdr:row>
      <xdr:rowOff>76868</xdr:rowOff>
    </xdr:to>
    <xdr:pic>
      <xdr:nvPicPr>
        <xdr:cNvPr id="41" name="Picture_1">
          <a:extLst>
            <a:ext uri="{FF2B5EF4-FFF2-40B4-BE49-F238E27FC236}">
              <a16:creationId xmlns:a16="http://schemas.microsoft.com/office/drawing/2014/main" id="{9F2B232D-4990-47FE-8960-75D6B7A03A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58035650" y="201083"/>
          <a:ext cx="3657600" cy="128336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5</xdr:col>
      <xdr:colOff>1214967</xdr:colOff>
      <xdr:row>22</xdr:row>
      <xdr:rowOff>27094</xdr:rowOff>
    </xdr:to>
    <xdr:pic>
      <xdr:nvPicPr>
        <xdr:cNvPr id="42" name="Picture_2">
          <a:extLst>
            <a:ext uri="{FF2B5EF4-FFF2-40B4-BE49-F238E27FC236}">
              <a16:creationId xmlns:a16="http://schemas.microsoft.com/office/drawing/2014/main" id="{A74CED1E-9135-4D34-AE67-00F20F115C87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268955534" y="5355167"/>
          <a:ext cx="6686550" cy="166751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</xdr:row>
      <xdr:rowOff>0</xdr:rowOff>
    </xdr:from>
    <xdr:to>
      <xdr:col>14</xdr:col>
      <xdr:colOff>609600</xdr:colOff>
      <xdr:row>7</xdr:row>
      <xdr:rowOff>76868</xdr:rowOff>
    </xdr:to>
    <xdr:pic>
      <xdr:nvPicPr>
        <xdr:cNvPr id="43" name="Picture_1">
          <a:extLst>
            <a:ext uri="{FF2B5EF4-FFF2-40B4-BE49-F238E27FC236}">
              <a16:creationId xmlns:a16="http://schemas.microsoft.com/office/drawing/2014/main" id="{417D1A8B-76A0-45C4-9374-30DBD9449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58035650" y="201083"/>
          <a:ext cx="3657600" cy="128336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206375</xdr:colOff>
      <xdr:row>1</xdr:row>
      <xdr:rowOff>95250</xdr:rowOff>
    </xdr:from>
    <xdr:to>
      <xdr:col>9</xdr:col>
      <xdr:colOff>4064000</xdr:colOff>
      <xdr:row>79</xdr:row>
      <xdr:rowOff>32250</xdr:rowOff>
    </xdr:to>
    <xdr:pic>
      <xdr:nvPicPr>
        <xdr:cNvPr id="5" name="תמונה 2">
          <a:extLst>
            <a:ext uri="{FF2B5EF4-FFF2-40B4-BE49-F238E27FC236}">
              <a16:creationId xmlns:a16="http://schemas.microsoft.com/office/drawing/2014/main" id="{3B80F584-BC5C-4988-A3D4-323BE36A1219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01625"/>
          <a:ext cx="10001250" cy="160342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676275</xdr:colOff>
          <xdr:row>15</xdr:row>
          <xdr:rowOff>15873</xdr:rowOff>
        </xdr:from>
        <xdr:to>
          <xdr:col>9</xdr:col>
          <xdr:colOff>3571875</xdr:colOff>
          <xdr:row>55</xdr:row>
          <xdr:rowOff>47624</xdr:rowOff>
        </xdr:to>
        <xdr:pic>
          <xdr:nvPicPr>
            <xdr:cNvPr id="11" name="PicForPdf">
              <a:extLst>
                <a:ext uri="{FF2B5EF4-FFF2-40B4-BE49-F238E27FC236}">
                  <a16:creationId xmlns:a16="http://schemas.microsoft.com/office/drawing/2014/main" id="{00000000-0008-0000-0400-00000B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reaTextOut2" spid="_x0000_s10061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143000" y="3111498"/>
              <a:ext cx="9039225" cy="8286751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409576</xdr:colOff>
      <xdr:row>1</xdr:row>
      <xdr:rowOff>114300</xdr:rowOff>
    </xdr:from>
    <xdr:to>
      <xdr:col>5</xdr:col>
      <xdr:colOff>638176</xdr:colOff>
      <xdr:row>7</xdr:row>
      <xdr:rowOff>197518</xdr:rowOff>
    </xdr:to>
    <xdr:pic>
      <xdr:nvPicPr>
        <xdr:cNvPr id="2" name="Picture_1">
          <a:extLst>
            <a:ext uri="{FF2B5EF4-FFF2-40B4-BE49-F238E27FC236}">
              <a16:creationId xmlns:a16="http://schemas.microsoft.com/office/drawing/2014/main" id="{3D0DA356-5986-4E12-BE30-DDFC2A7371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9576" y="314325"/>
          <a:ext cx="3657600" cy="1283368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13</xdr:row>
      <xdr:rowOff>28575</xdr:rowOff>
    </xdr:from>
    <xdr:to>
      <xdr:col>9</xdr:col>
      <xdr:colOff>581025</xdr:colOff>
      <xdr:row>21</xdr:row>
      <xdr:rowOff>95885</xdr:rowOff>
    </xdr:to>
    <xdr:pic>
      <xdr:nvPicPr>
        <xdr:cNvPr id="5" name="Picture_2">
          <a:extLst>
            <a:ext uri="{FF2B5EF4-FFF2-40B4-BE49-F238E27FC236}">
              <a16:creationId xmlns:a16="http://schemas.microsoft.com/office/drawing/2014/main" id="{8AF31B75-D159-4E4B-955D-6D7F99924948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675" y="2628900"/>
          <a:ext cx="6686550" cy="1667510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13</xdr:row>
      <xdr:rowOff>0</xdr:rowOff>
    </xdr:from>
    <xdr:to>
      <xdr:col>25</xdr:col>
      <xdr:colOff>84525</xdr:colOff>
      <xdr:row>19</xdr:row>
      <xdr:rowOff>160133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59EA42B3-992F-4351-8F93-F8C69602ED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01200" y="2600325"/>
          <a:ext cx="7628325" cy="1360283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6</xdr:row>
      <xdr:rowOff>0</xdr:rowOff>
    </xdr:from>
    <xdr:to>
      <xdr:col>25</xdr:col>
      <xdr:colOff>373380</xdr:colOff>
      <xdr:row>10</xdr:row>
      <xdr:rowOff>72390</xdr:rowOff>
    </xdr:to>
    <xdr:pic>
      <xdr:nvPicPr>
        <xdr:cNvPr id="7" name="Picture 8">
          <a:extLst>
            <a:ext uri="{FF2B5EF4-FFF2-40B4-BE49-F238E27FC236}">
              <a16:creationId xmlns:a16="http://schemas.microsoft.com/office/drawing/2014/main" id="{05F75B05-09DC-4E73-A4EE-B484A4C3FC9F}"/>
            </a:ext>
          </a:extLst>
        </xdr:cNvPr>
        <xdr:cNvPicPr/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3992"/>
        <a:stretch/>
      </xdr:blipFill>
      <xdr:spPr>
        <a:xfrm>
          <a:off x="9601200" y="1200150"/>
          <a:ext cx="7917180" cy="872490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2</xdr:row>
      <xdr:rowOff>0</xdr:rowOff>
    </xdr:from>
    <xdr:to>
      <xdr:col>19</xdr:col>
      <xdr:colOff>459105</xdr:colOff>
      <xdr:row>5</xdr:row>
      <xdr:rowOff>19685</xdr:rowOff>
    </xdr:to>
    <xdr:pic>
      <xdr:nvPicPr>
        <xdr:cNvPr id="8" name="Picture 9">
          <a:extLst>
            <a:ext uri="{FF2B5EF4-FFF2-40B4-BE49-F238E27FC236}">
              <a16:creationId xmlns:a16="http://schemas.microsoft.com/office/drawing/2014/main" id="{65558232-F0C4-4DA3-9BBC-4E8031009139}"/>
            </a:ext>
          </a:extLst>
        </xdr:cNvPr>
        <xdr:cNvPicPr/>
      </xdr:nvPicPr>
      <xdr:blipFill rotWithShape="1">
        <a:blip xmlns:r="http://schemas.openxmlformats.org/officeDocument/2006/relationships" r:embed="rId5"/>
        <a:srcRect t="63718"/>
        <a:stretch/>
      </xdr:blipFill>
      <xdr:spPr>
        <a:xfrm>
          <a:off x="9601200" y="400050"/>
          <a:ext cx="3888105" cy="61976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181E4FD-649B-4ADC-8BFE-1BAAD3D2FF22}" name="ClientsDataIn" displayName="ClientsDataIn" ref="A1:Z7" totalsRowShown="0" headerRowDxfId="44">
  <autoFilter ref="A1:Z7" xr:uid="{089904DB-4E3B-48DA-A024-30ADFA933632}"/>
  <tableColumns count="26">
    <tableColumn id="1" xr3:uid="{A43EC748-FC24-4644-BECA-61CB6608F0B6}" name="102 = נאמן 103 = סוכן משלם X=אישור העברה"/>
    <tableColumn id="2" xr3:uid="{355C04D6-6AEB-4371-96B4-97A0DEF42C27}" name="נושא האישור (כותרת מסמך)"/>
    <tableColumn id="24" xr3:uid="{07EEBF76-27B8-44B9-B5DA-6125E40D38F5}" name="מלל קבוע (חלק 1)" dataDxfId="43"/>
    <tableColumn id="3" xr3:uid="{12156E97-555D-4797-BC61-516A98AAAEE2}" name="שם חברה (חלק 1)"/>
    <tableColumn id="4" xr3:uid="{7ACD4B22-7941-45BC-987B-4E739620B4ED}" name="מספר ת.ז.(חלק 1)"/>
    <tableColumn id="26" xr3:uid="{0B091B0B-0A9D-441A-826F-5C6470795640}" name="מר / גברת / חברה"/>
    <tableColumn id="5" xr3:uid="{985C1FDD-5E8D-4CCD-94A3-9C275EFFF7FC}" name="שם פרטי (חלק 1)"/>
    <tableColumn id="6" xr3:uid="{065A3C05-D3E5-4BD6-8266-86194D0EECB5}" name="שם משפחה בלבד (חלק 1)"/>
    <tableColumn id="7" xr3:uid="{D42F0503-D50A-42D3-A984-AEE45C4A885C}" name="תאריך חלוקה (חלק 1)" dataDxfId="42"/>
    <tableColumn id="8" xr3:uid="{813202E9-A5F0-41CC-9D10-21740BC51F54}" name="סכום החלוקה (חלק 1)"/>
    <tableColumn id="9" xr3:uid="{B98E0D85-452F-4671-B0B7-C80B6BFDB2CC}" name="מטבע סכום החלוקה (חלק 1)"/>
    <tableColumn id="10" xr3:uid="{C05CA3B5-41B4-42F4-BC06-52DF0118B71B}" name="מלל קבוע (חלק 2)" dataDxfId="41"/>
    <tableColumn id="11" xr3:uid="{7A60A9F2-C21A-4121-8B35-9162F7A98645}" name="סכום המס  (חלק 2)"/>
    <tableColumn id="12" xr3:uid="{028F51E4-9A2A-4CA2-B936-8A6750490DEC}" name="אחוז מסך התמורה  (חלק 2)" dataDxfId="40"/>
    <tableColumn id="20" xr3:uid="{66FB3982-5B3F-453A-A282-3DEF17B26C90}" name="מלל אחוז התמורה XXX מוחלף אוטומטית באחוזים עמודה קודם  (חלק 2)"/>
    <tableColumn id="13" xr3:uid="{C2B35AB4-F359-4382-AF18-2F9FC73E1A67}" name="מלל קבוע מקדמת המס (חלק 2)" dataDxfId="39"/>
    <tableColumn id="23" xr3:uid="{A1DADA8D-0C96-417C-926E-B07E10A60D1A}" name="מלל מקדמת המס המשך  (חלק 2)" dataDxfId="38"/>
    <tableColumn id="14" xr3:uid="{1F36343B-60AA-4E56-9BF1-CFE2049B4F8D}" name="תשלום ללקוח  (חלק 3)"/>
    <tableColumn id="15" xr3:uid="{AD36F8D5-C397-4192-A137-F4E12B0690C4}" name="מטבה התשלום ללקוח  (חלק 3)"/>
    <tableColumn id="25" xr3:uid="{A4FD99B7-10E5-4A44-9AC9-88E069CA8B45}" name="תאריך העברה ללקוח"/>
    <tableColumn id="22" xr3:uid="{3F7D6A76-A081-4614-A2BE-963924A79085}" name="מלל סכום נטו עבור אישור העברה  (חלק 3)"/>
    <tableColumn id="21" xr3:uid="{FB98B1CB-A331-4455-96F4-6563579829D9}" name="Mail"/>
    <tableColumn id="16" xr3:uid="{33BB3F19-22CA-4EFB-9F50-492539C6EAAC}" name="Rem"/>
    <tableColumn id="17" xr3:uid="{AB9FCD1B-2A47-4A3D-95F9-2C966A08BD4C}" name="PassWord" dataDxfId="37">
      <calculatedColumnFormula>TEXT(ClientsDataIn[[#This Row],[מספר ת.ז.(חלק 1)]],"000000000")</calculatedColumnFormula>
    </tableColumn>
    <tableColumn id="18" xr3:uid="{256CCE75-D127-4668-BA6C-A02C04D3EDBF}" name="FileName" dataDxfId="36">
      <calculatedColumnFormula>"F_"&amp;ClientsDataIn[[#This Row],[מספר ת.ז.(חלק 1)]]&amp;"_"&amp;ClientsDataIn[[#This Row],[102 = נאמן 103 = סוכן משלם X=אישור העברה]]&amp;".pdf"</calculatedColumnFormula>
    </tableColumn>
    <tableColumn id="19" xr3:uid="{1FC899E1-A7A7-436F-A6F1-C3D8F05D5B25}" name="FileDir" dataDxfId="35">
      <calculatedColumnFormula array="1">MID(CELL("filename"),1,FIND("[",CELL("filename"))-1)&amp;"OutFiles\"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45674BE-FA89-4F32-9AB8-9172139D8C83}" name="TblDataSecond" displayName="TblDataSecond" ref="A1:AE74" totalsRowShown="0" headerRowDxfId="34" dataDxfId="32" headerRowBorderDxfId="33" tableBorderDxfId="31">
  <tableColumns count="31">
    <tableColumn id="1" xr3:uid="{D0B02A2A-8B9C-45BC-8262-B73DAEBD9432}" name="מספר זהות/ID" dataDxfId="30"/>
    <tableColumn id="17" xr3:uid="{CEAC4FCB-7BDE-4665-8235-5A13903256B8}" name="שם פרטי/Name" dataDxfId="29"/>
    <tableColumn id="16" xr3:uid="{2E9C6148-CE95-495A-995E-0250E0F84853}" name="שם משפחה/Last Name" dataDxfId="28"/>
    <tableColumn id="2" xr3:uid="{1685F88B-3DB6-44C2-A99A-6534114BF969}" name="חברה/Company" dataDxfId="27"/>
    <tableColumn id="3" xr3:uid="{0EB606C4-9C69-4A45-AFA7-6AA9D0909466}" name="תאריך מימוש/Exercise  Date" dataDxfId="26"/>
    <tableColumn id="4" xr3:uid="{71D09481-3C40-4107-8E9E-911BC0E2DA15}" name="כמות מניות שנמכרה-Number of exercised options4" dataDxfId="25"/>
    <tableColumn id="5" xr3:uid="{720A9D10-9390-4F66-AD01-5D3D13ABF383}" name="Date of sale- תאריך מכירה" dataDxfId="24"/>
    <tableColumn id="6" xr3:uid="{8698A084-0C15-4F7E-BC05-B3213FE68A0B}" name="Price per share- מחיר מכירה למניה" dataDxfId="23"/>
    <tableColumn id="7" xr3:uid="{14B818D2-732E-4FF5-B7AE-61831CC29097}" name="Broker's Commisions- עמלות ברוקר" dataDxfId="22"/>
    <tableColumn id="8" xr3:uid="{E7F4700D-1E69-427B-8917-FD3DA652D447}" name="Date of grant- תאריך הקצאה" dataDxfId="21"/>
    <tableColumn id="9" xr3:uid="{E8C88701-4412-4A16-96FB-460F0EE743BA}" name="Total Net gain $- סה&quot;כ רווח נקי" dataDxfId="20"/>
    <tableColumn id="10" xr3:uid="{7FBF4176-1C50-4BBC-9223-6CDD506425FC}" name="מסלול מס/Tax Track" dataDxfId="19"/>
    <tableColumn id="11" xr3:uid="{B7D55CCE-657D-4251-9874-3FAC638302A7}" name="שער ממוצע/Average Price" dataDxfId="18"/>
    <tableColumn id="12" xr3:uid="{A2E5991B-1CCC-42ED-9AF0-98988DEC273F}" name="עמלת נאמן/Trustee Commision" dataDxfId="17"/>
    <tableColumn id="22" xr3:uid="{09550212-0DD7-41C0-A628-9A90827E3F1F}" name="שיעור מס פירותי/Marginal Tax Rate" dataDxfId="16"/>
    <tableColumn id="15" xr3:uid="{836878B1-2840-44C7-A3E7-19D951F462AA}" name="Marginal Gain/הכנסה פירותית" dataDxfId="15"/>
    <tableColumn id="14" xr3:uid="{F448023C-BC71-424C-A03D-B92A32BD830A}" name="שיעור מס הוני/ Capital Tax Rate" dataDxfId="14"/>
    <tableColumn id="29" xr3:uid="{F0CEE2ED-30D4-465B-B9B4-F64919FAC256}" name="Capital Gain/הכנסה הונית" dataDxfId="13"/>
    <tableColumn id="28" xr3:uid="{43FCC4F7-E54B-4671-98DE-5DA41A74BA8E}" name="מס שנוכה/Tax deducted" dataDxfId="12" dataCellStyle="Percent"/>
    <tableColumn id="27" xr3:uid="{48356837-C430-4C16-9BAA-ACEF1935A9BB}" name="עמלת העברה ש&quot;ח" dataDxfId="11" dataCellStyle="Percent"/>
    <tableColumn id="26" xr3:uid="{E4F2CC46-DCBD-40B6-B56F-7479B6EB139A}" name="סכום העברה ש&quot;ח" dataDxfId="10" dataCellStyle="Percent"/>
    <tableColumn id="25" xr3:uid="{B5E91508-5248-4C87-9686-AE1C490CA366}" name="עמלת העברה $" dataDxfId="9" dataCellStyle="Percent"/>
    <tableColumn id="24" xr3:uid="{CB7C25B2-AAB7-416F-A0FF-4406F5C29119}" name="סכום העברה $" dataDxfId="8"/>
    <tableColumn id="31" xr3:uid="{392410B8-05CE-47ED-ACBE-99AB0A16DD73}" name="Empty1" dataDxfId="7"/>
    <tableColumn id="30" xr3:uid="{808A4438-E373-4E7B-AC15-3C063564639E}" name="Empty2" dataDxfId="6"/>
    <tableColumn id="13" xr3:uid="{8C1F09FB-F8B0-4EB4-9E89-FD05A7A41A45}" name="Representive rate שער יציג" dataDxfId="5"/>
    <tableColumn id="21" xr3:uid="{202305F1-29E9-48F1-9CB6-AC601F603C82}" name="Mail" dataDxfId="4" dataCellStyle="Hyperlink"/>
    <tableColumn id="18" xr3:uid="{DD343C4D-576D-4B88-A9B6-D53E6C5ECFD8}" name="PassWord" dataDxfId="3">
      <calculatedColumnFormula>TEXT(TblDataSecond[[#This Row],[מספר זהות/ID]],"000000000")</calculatedColumnFormula>
    </tableColumn>
    <tableColumn id="19" xr3:uid="{5C7264D5-F78C-406D-BB56-8317546212A1}" name="NotRun" dataDxfId="2">
      <calculatedColumnFormula>File2Name&amp;"_F_"&amp;INT(TblDataSecond[[#This Row],[NumRows]]/CountMax)+1&amp;"_"&amp;TblDataSecond[[#This Row],[PassWord]]&amp;".pdf"</calculatedColumnFormula>
    </tableColumn>
    <tableColumn id="20" xr3:uid="{CE220C9A-7F1F-425F-81A1-478B24EAA96D}" name="FileDir" dataDxfId="1">
      <calculatedColumnFormula array="1">MID(CELL("filename"),1,FIND("[",CELL("filename"))-1)&amp;"OutFiles\"</calculatedColumnFormula>
    </tableColumn>
    <tableColumn id="23" xr3:uid="{83DC81CA-3C4B-4084-8225-F8A4B0D7613C}" name="NumRows" dataDxfId="0">
      <calculatedColumnFormula>COUNTIFS($A$2:A2,TblDataSecond[[#This Row],[מספר זהות/ID]])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edelmanarik@gmail.com" TargetMode="External"/><Relationship Id="rId7" Type="http://schemas.openxmlformats.org/officeDocument/2006/relationships/table" Target="../tables/table1.xml"/><Relationship Id="rId2" Type="http://schemas.openxmlformats.org/officeDocument/2006/relationships/hyperlink" Target="mailto:edelmanarik@gmail.com" TargetMode="External"/><Relationship Id="rId1" Type="http://schemas.openxmlformats.org/officeDocument/2006/relationships/hyperlink" Target="mailto:edelmanarik@gmail.com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mailto:edelmanarik@gmail.com" TargetMode="External"/><Relationship Id="rId4" Type="http://schemas.openxmlformats.org/officeDocument/2006/relationships/hyperlink" Target="mailto:edelmanarik@gmail.com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ANGELMT@WALLA.CO.IL" TargetMode="External"/><Relationship Id="rId2" Type="http://schemas.openxmlformats.org/officeDocument/2006/relationships/hyperlink" Target="mailto:STASM@ESOP.CO.IL" TargetMode="External"/><Relationship Id="rId1" Type="http://schemas.openxmlformats.org/officeDocument/2006/relationships/hyperlink" Target="mailto:STASM@ESOP.CO.IL" TargetMode="External"/><Relationship Id="rId6" Type="http://schemas.openxmlformats.org/officeDocument/2006/relationships/table" Target="../tables/table2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mailto:ANGELMT@WALLA.CO.IL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AF19F-6929-4E7B-A792-F1FC1F990A55}">
  <sheetPr codeName="גיליון3"/>
  <dimension ref="A1:P37"/>
  <sheetViews>
    <sheetView rightToLeft="1" tabSelected="1" zoomScale="70" zoomScaleNormal="70" workbookViewId="0">
      <selection activeCell="A37" sqref="A37"/>
    </sheetView>
  </sheetViews>
  <sheetFormatPr defaultRowHeight="15.6" x14ac:dyDescent="0.3"/>
  <cols>
    <col min="1" max="1" width="26.3984375" bestFit="1" customWidth="1"/>
    <col min="2" max="2" width="10.59765625" bestFit="1" customWidth="1"/>
    <col min="3" max="3" width="3" customWidth="1"/>
    <col min="4" max="4" width="19.5" customWidth="1"/>
    <col min="5" max="5" width="3" customWidth="1"/>
    <col min="6" max="6" width="18.5" customWidth="1"/>
    <col min="7" max="7" width="3" customWidth="1"/>
    <col min="8" max="8" width="8.5" customWidth="1"/>
    <col min="10" max="10" width="2.5" customWidth="1"/>
    <col min="11" max="11" width="13.8984375" customWidth="1"/>
  </cols>
  <sheetData>
    <row r="1" spans="1:16" ht="16.2" thickBot="1" x14ac:dyDescent="0.35">
      <c r="A1" s="27"/>
      <c r="B1" s="27"/>
      <c r="C1" s="27"/>
      <c r="D1" s="27"/>
      <c r="E1" s="27"/>
      <c r="F1" s="27"/>
      <c r="G1" s="27"/>
      <c r="H1" s="27"/>
      <c r="I1" s="36" t="s">
        <v>20</v>
      </c>
      <c r="J1" s="27"/>
      <c r="K1" s="27" t="s">
        <v>87</v>
      </c>
      <c r="L1" s="27"/>
      <c r="M1" s="27"/>
      <c r="N1" s="27"/>
      <c r="O1" s="27"/>
      <c r="P1" s="27"/>
    </row>
    <row r="2" spans="1:16" ht="16.2" thickBot="1" x14ac:dyDescent="0.35">
      <c r="A2" s="34" t="s">
        <v>81</v>
      </c>
      <c r="B2" s="40">
        <v>102</v>
      </c>
      <c r="C2" s="28"/>
      <c r="D2" s="28"/>
      <c r="E2" s="28"/>
      <c r="F2" s="28"/>
      <c r="G2" s="28"/>
      <c r="H2" s="28"/>
      <c r="I2" s="37" t="s">
        <v>21</v>
      </c>
      <c r="J2" s="28"/>
      <c r="K2" s="28" t="s">
        <v>88</v>
      </c>
      <c r="L2" s="96" t="s">
        <v>211</v>
      </c>
      <c r="M2" s="97"/>
      <c r="N2" s="98"/>
      <c r="O2" s="28"/>
      <c r="P2" s="28"/>
    </row>
    <row r="3" spans="1:16" ht="16.2" thickBot="1" x14ac:dyDescent="0.35">
      <c r="A3" s="34" t="s">
        <v>100</v>
      </c>
      <c r="B3" s="40">
        <v>103</v>
      </c>
      <c r="C3" s="29"/>
      <c r="D3" s="29"/>
      <c r="E3" s="29"/>
      <c r="F3" s="29"/>
      <c r="G3" s="29"/>
      <c r="H3" s="29"/>
      <c r="I3" s="38" t="s">
        <v>22</v>
      </c>
      <c r="J3" s="29"/>
      <c r="K3" s="29" t="s">
        <v>89</v>
      </c>
      <c r="L3" s="29" t="s">
        <v>90</v>
      </c>
      <c r="M3" s="29"/>
      <c r="N3" s="29"/>
      <c r="O3" s="29"/>
      <c r="P3" s="29"/>
    </row>
    <row r="4" spans="1:16" ht="16.2" thickBot="1" x14ac:dyDescent="0.35">
      <c r="A4" s="34" t="s">
        <v>82</v>
      </c>
      <c r="B4" s="35">
        <f ca="1">TODAY()</f>
        <v>44410</v>
      </c>
      <c r="C4" s="29"/>
      <c r="D4" s="29"/>
      <c r="E4" s="29"/>
      <c r="F4" s="29"/>
      <c r="G4" s="29"/>
      <c r="H4" s="29"/>
      <c r="I4" s="29"/>
      <c r="J4" s="29"/>
      <c r="K4" s="29" t="s">
        <v>214</v>
      </c>
      <c r="L4" s="29" t="s">
        <v>219</v>
      </c>
      <c r="M4" s="29"/>
      <c r="N4" s="29"/>
      <c r="O4" s="29"/>
      <c r="P4" s="29"/>
    </row>
    <row r="5" spans="1:16" ht="16.2" thickBot="1" x14ac:dyDescent="0.35">
      <c r="A5" s="29"/>
      <c r="B5" s="29"/>
      <c r="C5" s="29"/>
      <c r="D5" s="29"/>
      <c r="E5" s="29"/>
      <c r="F5" s="29"/>
      <c r="G5" s="29"/>
      <c r="H5" s="29"/>
      <c r="I5" s="29"/>
      <c r="J5" s="29"/>
      <c r="K5" s="29" t="s">
        <v>215</v>
      </c>
      <c r="L5" s="29" t="s">
        <v>218</v>
      </c>
      <c r="M5" s="29"/>
      <c r="N5" s="29"/>
      <c r="O5" s="29"/>
      <c r="P5" s="29"/>
    </row>
    <row r="6" spans="1:16" x14ac:dyDescent="0.3">
      <c r="A6" s="33" t="s">
        <v>23</v>
      </c>
      <c r="B6" s="29"/>
      <c r="C6" s="29"/>
      <c r="D6" s="29"/>
      <c r="E6" s="29"/>
      <c r="F6" s="29"/>
      <c r="G6" s="29"/>
      <c r="H6" s="29"/>
      <c r="I6" s="29"/>
      <c r="J6" s="29"/>
      <c r="K6" s="29" t="s">
        <v>216</v>
      </c>
      <c r="L6" s="29" t="s">
        <v>217</v>
      </c>
      <c r="M6" s="29"/>
      <c r="N6" s="29"/>
      <c r="O6" s="29"/>
      <c r="P6" s="29"/>
    </row>
    <row r="7" spans="1:16" x14ac:dyDescent="0.3">
      <c r="A7" s="39" t="s">
        <v>56</v>
      </c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</row>
    <row r="8" spans="1:16" x14ac:dyDescent="0.3">
      <c r="A8" s="39" t="s">
        <v>54</v>
      </c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</row>
    <row r="9" spans="1:16" x14ac:dyDescent="0.3">
      <c r="A9" s="39" t="s">
        <v>55</v>
      </c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</row>
    <row r="10" spans="1:16" x14ac:dyDescent="0.3">
      <c r="A10" s="31"/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</row>
    <row r="11" spans="1:16" ht="16.2" thickBot="1" x14ac:dyDescent="0.35">
      <c r="A11" s="32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</row>
    <row r="12" spans="1:16" x14ac:dyDescent="0.3">
      <c r="A12" s="29"/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</row>
    <row r="13" spans="1:16" x14ac:dyDescent="0.3">
      <c r="A13" s="29" t="s">
        <v>84</v>
      </c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</row>
    <row r="14" spans="1:16" x14ac:dyDescent="0.3">
      <c r="A14" s="29" t="s">
        <v>85</v>
      </c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</row>
    <row r="15" spans="1:16" x14ac:dyDescent="0.3">
      <c r="A15" s="30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</row>
    <row r="16" spans="1:16" x14ac:dyDescent="0.3">
      <c r="A16" s="29" t="s">
        <v>50</v>
      </c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</row>
    <row r="17" spans="1:16" ht="16.2" thickBot="1" x14ac:dyDescent="0.35">
      <c r="A17" s="29" t="s">
        <v>100</v>
      </c>
      <c r="B17" s="29"/>
      <c r="C17" s="29"/>
      <c r="D17" s="29" t="s">
        <v>102</v>
      </c>
      <c r="E17" s="29"/>
      <c r="F17" s="29" t="s">
        <v>153</v>
      </c>
      <c r="G17" s="29"/>
      <c r="H17" s="29"/>
      <c r="I17" s="29"/>
      <c r="J17" s="29"/>
      <c r="K17" s="29"/>
      <c r="L17" s="29"/>
      <c r="M17" s="29"/>
      <c r="N17" s="29"/>
      <c r="O17" s="29"/>
      <c r="P17" s="29"/>
    </row>
    <row r="18" spans="1:16" ht="16.2" thickBot="1" x14ac:dyDescent="0.35">
      <c r="A18" s="29" t="s">
        <v>106</v>
      </c>
      <c r="B18" s="29"/>
      <c r="C18" s="29"/>
      <c r="D18" s="58" t="s">
        <v>103</v>
      </c>
      <c r="E18" s="29"/>
      <c r="F18" s="58" t="s">
        <v>154</v>
      </c>
      <c r="G18" s="29"/>
      <c r="H18" s="29"/>
      <c r="I18" s="29"/>
      <c r="J18" s="29"/>
      <c r="K18" s="29"/>
      <c r="L18" s="29"/>
      <c r="M18" s="29"/>
      <c r="N18" s="29"/>
      <c r="O18" s="29"/>
      <c r="P18" s="29"/>
    </row>
    <row r="19" spans="1:16" ht="16.2" thickBot="1" x14ac:dyDescent="0.35">
      <c r="A19" s="30" t="s">
        <v>85</v>
      </c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</row>
    <row r="20" spans="1:16" ht="16.2" thickBot="1" x14ac:dyDescent="0.35">
      <c r="A20" s="29"/>
      <c r="B20" s="29"/>
      <c r="C20" s="29"/>
      <c r="D20" s="93" t="s">
        <v>193</v>
      </c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</row>
    <row r="21" spans="1:16" ht="16.2" thickBot="1" x14ac:dyDescent="0.35">
      <c r="A21" s="54" t="s">
        <v>94</v>
      </c>
      <c r="B21" s="55"/>
      <c r="C21" s="29"/>
      <c r="D21" s="90" t="s">
        <v>191</v>
      </c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</row>
    <row r="22" spans="1:16" x14ac:dyDescent="0.3">
      <c r="A22" s="29" t="s">
        <v>104</v>
      </c>
      <c r="B22" s="29"/>
      <c r="C22" s="29"/>
      <c r="D22" s="91" t="s">
        <v>190</v>
      </c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 t="s">
        <v>92</v>
      </c>
    </row>
    <row r="23" spans="1:16" x14ac:dyDescent="0.3">
      <c r="A23" s="29">
        <v>27</v>
      </c>
      <c r="B23" s="29"/>
      <c r="C23" s="29"/>
      <c r="D23" s="90" t="s">
        <v>192</v>
      </c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</row>
    <row r="24" spans="1:16" ht="16.2" thickBot="1" x14ac:dyDescent="0.35">
      <c r="A24" s="30"/>
      <c r="B24" s="30"/>
      <c r="C24" s="30"/>
      <c r="D24" s="92">
        <v>6</v>
      </c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</row>
    <row r="25" spans="1:16" x14ac:dyDescent="0.3">
      <c r="A25" s="30"/>
      <c r="B25" s="30"/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</row>
    <row r="26" spans="1:16" x14ac:dyDescent="0.3">
      <c r="A26" s="30"/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</row>
    <row r="27" spans="1:16" x14ac:dyDescent="0.3">
      <c r="A27" s="60" t="s">
        <v>107</v>
      </c>
    </row>
    <row r="28" spans="1:16" ht="16.2" thickBot="1" x14ac:dyDescent="0.35">
      <c r="A28" s="59" t="s">
        <v>108</v>
      </c>
    </row>
    <row r="29" spans="1:16" x14ac:dyDescent="0.3">
      <c r="A29" s="95" t="s">
        <v>209</v>
      </c>
    </row>
    <row r="30" spans="1:16" ht="16.2" thickBot="1" x14ac:dyDescent="0.35">
      <c r="A30" s="59" t="s">
        <v>109</v>
      </c>
    </row>
    <row r="31" spans="1:16" x14ac:dyDescent="0.3">
      <c r="A31" s="95" t="s">
        <v>210</v>
      </c>
    </row>
    <row r="35" spans="1:1" ht="16.2" thickBot="1" x14ac:dyDescent="0.35">
      <c r="A35" s="59" t="s">
        <v>110</v>
      </c>
    </row>
    <row r="36" spans="1:1" x14ac:dyDescent="0.3">
      <c r="A36" t="s">
        <v>111</v>
      </c>
    </row>
    <row r="37" spans="1:1" x14ac:dyDescent="0.3">
      <c r="A37" t="str">
        <f>EndMailName</f>
        <v>Stas</v>
      </c>
    </row>
  </sheetData>
  <mergeCells count="1">
    <mergeCell ref="L2:N2"/>
  </mergeCells>
  <dataValidations disablePrompts="1" count="2">
    <dataValidation type="list" allowBlank="1" showInputMessage="1" showErrorMessage="1" sqref="D18" xr:uid="{6305548D-89D5-4D30-8B77-697EBACA27DE}">
      <formula1>"מסך, שליחה"</formula1>
    </dataValidation>
    <dataValidation type="list" allowBlank="1" showInputMessage="1" showErrorMessage="1" sqref="F18" xr:uid="{966DF779-9F40-43FE-9690-7C3C7A4FC5D2}">
      <formula1>"עברית,אנגלית"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5ACDB-78D7-4CD4-8C34-3E3727077EC8}">
  <sheetPr codeName="גיליון4"/>
  <dimension ref="A1:Z7"/>
  <sheetViews>
    <sheetView rightToLeft="1" topLeftCell="M1" zoomScale="85" zoomScaleNormal="85" workbookViewId="0">
      <selection activeCell="F5" sqref="F5"/>
    </sheetView>
  </sheetViews>
  <sheetFormatPr defaultRowHeight="15.6" x14ac:dyDescent="0.3"/>
  <cols>
    <col min="1" max="1" width="12.5" customWidth="1"/>
    <col min="2" max="3" width="25.3984375" customWidth="1"/>
    <col min="4" max="4" width="12.19921875" customWidth="1"/>
    <col min="5" max="5" width="11.09765625" bestFit="1" customWidth="1"/>
    <col min="6" max="6" width="11.09765625" customWidth="1"/>
    <col min="7" max="11" width="12.19921875" customWidth="1"/>
    <col min="12" max="12" width="20.8984375" customWidth="1"/>
    <col min="13" max="13" width="12.19921875" customWidth="1"/>
    <col min="14" max="14" width="13.3984375" customWidth="1"/>
    <col min="15" max="15" width="21.5" customWidth="1"/>
    <col min="16" max="17" width="40" customWidth="1"/>
    <col min="18" max="21" width="12.19921875" customWidth="1"/>
    <col min="22" max="22" width="21.5" bestFit="1" customWidth="1"/>
    <col min="23" max="23" width="13.5" customWidth="1"/>
    <col min="24" max="24" width="11" bestFit="1" customWidth="1"/>
    <col min="25" max="25" width="15.59765625" bestFit="1" customWidth="1"/>
    <col min="26" max="26" width="35.3984375" bestFit="1" customWidth="1"/>
  </cols>
  <sheetData>
    <row r="1" spans="1:26" ht="78" x14ac:dyDescent="0.3">
      <c r="A1" s="56" t="s">
        <v>101</v>
      </c>
      <c r="B1" s="18" t="s">
        <v>131</v>
      </c>
      <c r="C1" s="18" t="s">
        <v>118</v>
      </c>
      <c r="D1" s="18" t="s">
        <v>112</v>
      </c>
      <c r="E1" s="18" t="s">
        <v>113</v>
      </c>
      <c r="F1" s="18" t="s">
        <v>221</v>
      </c>
      <c r="G1" s="18" t="s">
        <v>206</v>
      </c>
      <c r="H1" s="18" t="s">
        <v>114</v>
      </c>
      <c r="I1" s="18" t="s">
        <v>115</v>
      </c>
      <c r="J1" s="18" t="s">
        <v>116</v>
      </c>
      <c r="K1" s="18" t="s">
        <v>117</v>
      </c>
      <c r="L1" s="18" t="s">
        <v>122</v>
      </c>
      <c r="M1" s="18" t="s">
        <v>123</v>
      </c>
      <c r="N1" s="18" t="s">
        <v>124</v>
      </c>
      <c r="O1" s="18" t="s">
        <v>125</v>
      </c>
      <c r="P1" s="18" t="s">
        <v>126</v>
      </c>
      <c r="Q1" s="18" t="s">
        <v>127</v>
      </c>
      <c r="R1" s="18" t="s">
        <v>128</v>
      </c>
      <c r="S1" s="18" t="s">
        <v>129</v>
      </c>
      <c r="T1" s="18" t="s">
        <v>200</v>
      </c>
      <c r="U1" s="18" t="s">
        <v>130</v>
      </c>
      <c r="V1" s="18" t="s">
        <v>83</v>
      </c>
      <c r="W1" s="18" t="s">
        <v>63</v>
      </c>
      <c r="X1" s="19" t="s">
        <v>19</v>
      </c>
      <c r="Y1" s="19" t="s">
        <v>17</v>
      </c>
      <c r="Z1" s="20" t="s">
        <v>18</v>
      </c>
    </row>
    <row r="2" spans="1:26" ht="61.5" customHeight="1" x14ac:dyDescent="0.3">
      <c r="A2" s="14" t="s">
        <v>51</v>
      </c>
      <c r="B2" s="14" t="s">
        <v>32</v>
      </c>
      <c r="C2" s="14" t="s">
        <v>119</v>
      </c>
      <c r="D2" s="14" t="s">
        <v>47</v>
      </c>
      <c r="E2" s="14" t="s">
        <v>28</v>
      </c>
      <c r="F2" s="14" t="s">
        <v>222</v>
      </c>
      <c r="G2" s="14" t="s">
        <v>26</v>
      </c>
      <c r="H2" s="14" t="s">
        <v>29</v>
      </c>
      <c r="I2" s="14" t="s">
        <v>25</v>
      </c>
      <c r="J2" s="14" t="s">
        <v>35</v>
      </c>
      <c r="K2" s="14" t="s">
        <v>36</v>
      </c>
      <c r="L2" s="14" t="s">
        <v>38</v>
      </c>
      <c r="M2" s="14" t="s">
        <v>39</v>
      </c>
      <c r="N2" s="14" t="s">
        <v>61</v>
      </c>
      <c r="O2" s="14" t="s">
        <v>40</v>
      </c>
      <c r="P2" s="14" t="s">
        <v>41</v>
      </c>
      <c r="Q2" s="14" t="s">
        <v>97</v>
      </c>
      <c r="R2" s="14" t="s">
        <v>43</v>
      </c>
      <c r="S2" s="14" t="s">
        <v>44</v>
      </c>
      <c r="T2" s="14" t="s">
        <v>199</v>
      </c>
      <c r="U2" s="14" t="s">
        <v>93</v>
      </c>
      <c r="V2" s="14" t="s">
        <v>83</v>
      </c>
      <c r="W2" s="13" t="s">
        <v>62</v>
      </c>
      <c r="X2" s="13" t="str">
        <f>TEXT(ClientsDataIn[[#This Row],[מספר ת.ז.(חלק 1)]],"000000000")</f>
        <v>Seif1C</v>
      </c>
      <c r="Y2" s="13" t="s">
        <v>86</v>
      </c>
      <c r="Z2" s="13" t="s">
        <v>86</v>
      </c>
    </row>
    <row r="3" spans="1:26" ht="46.8" x14ac:dyDescent="0.3">
      <c r="A3">
        <v>102</v>
      </c>
      <c r="B3" t="s">
        <v>31</v>
      </c>
      <c r="C3" t="s">
        <v>120</v>
      </c>
      <c r="D3" t="s">
        <v>57</v>
      </c>
      <c r="E3">
        <v>22875942</v>
      </c>
      <c r="F3" t="s">
        <v>223</v>
      </c>
      <c r="G3" t="s">
        <v>207</v>
      </c>
      <c r="H3" t="s">
        <v>15</v>
      </c>
      <c r="I3" s="9">
        <v>44242</v>
      </c>
      <c r="J3">
        <v>30863</v>
      </c>
      <c r="K3" t="s">
        <v>58</v>
      </c>
      <c r="L3" s="12" t="s">
        <v>121</v>
      </c>
      <c r="M3">
        <v>26269.26</v>
      </c>
      <c r="N3" s="15">
        <v>0.25</v>
      </c>
      <c r="O3" s="12" t="s">
        <v>66</v>
      </c>
      <c r="P3" s="12" t="s">
        <v>98</v>
      </c>
      <c r="Q3" s="12" t="s">
        <v>99</v>
      </c>
      <c r="R3">
        <v>23075.79</v>
      </c>
      <c r="S3" t="s">
        <v>58</v>
      </c>
      <c r="T3" s="9">
        <v>44256</v>
      </c>
      <c r="V3" s="3" t="s">
        <v>16</v>
      </c>
      <c r="W3" s="12" t="s">
        <v>60</v>
      </c>
      <c r="X3" s="43" t="str">
        <f>TEXT(ClientsDataIn[[#This Row],[מספר ת.ז.(חלק 1)]],"000000000")</f>
        <v>022875942</v>
      </c>
      <c r="Y3" s="43" t="str">
        <f>"F_"&amp;ClientsDataIn[[#This Row],[מספר ת.ז.(חלק 1)]]&amp;"_"&amp;ClientsDataIn[[#This Row],[102 = נאמן 103 = סוכן משלם X=אישור העברה]]&amp;".pdf"</f>
        <v>F_22875942_102.pdf</v>
      </c>
      <c r="Z3" s="43" t="e" cm="1">
        <f t="array" aca="1" ref="Z3" ca="1">MID(CELL("filename"),1,FIND("[",CELL("filename"))-1)&amp;"OutFiles\"</f>
        <v>#N/A</v>
      </c>
    </row>
    <row r="4" spans="1:26" ht="46.8" x14ac:dyDescent="0.3">
      <c r="A4">
        <v>102</v>
      </c>
      <c r="B4" s="26" t="s">
        <v>31</v>
      </c>
      <c r="C4" t="s">
        <v>120</v>
      </c>
      <c r="D4" t="s">
        <v>67</v>
      </c>
      <c r="E4">
        <v>125664</v>
      </c>
      <c r="F4" t="s">
        <v>224</v>
      </c>
      <c r="G4" t="s">
        <v>208</v>
      </c>
      <c r="H4" t="s">
        <v>68</v>
      </c>
      <c r="I4" s="9">
        <v>44221</v>
      </c>
      <c r="J4">
        <v>58266</v>
      </c>
      <c r="K4" t="s">
        <v>58</v>
      </c>
      <c r="L4" s="12" t="s">
        <v>121</v>
      </c>
      <c r="M4">
        <v>45262.23</v>
      </c>
      <c r="N4" s="15">
        <v>0.35</v>
      </c>
      <c r="O4" s="12" t="s">
        <v>66</v>
      </c>
      <c r="P4" s="12" t="s">
        <v>98</v>
      </c>
      <c r="Q4" s="12" t="s">
        <v>99</v>
      </c>
      <c r="R4">
        <v>15263.25</v>
      </c>
      <c r="S4" t="s">
        <v>58</v>
      </c>
      <c r="V4" s="3" t="s">
        <v>16</v>
      </c>
      <c r="W4" s="12" t="str">
        <f>$W$3</f>
        <v>לא למלא שייך למערכת</v>
      </c>
      <c r="X4" s="43" t="str">
        <f>TEXT(ClientsDataIn[[#This Row],[מספר ת.ז.(חלק 1)]],"000000000")</f>
        <v>000125664</v>
      </c>
      <c r="Y4" s="43" t="str">
        <f>"F_"&amp;ClientsDataIn[[#This Row],[מספר ת.ז.(חלק 1)]]&amp;"_"&amp;ClientsDataIn[[#This Row],[102 = נאמן 103 = סוכן משלם X=אישור העברה]]&amp;".pdf"</f>
        <v>F_125664_102.pdf</v>
      </c>
      <c r="Z4" s="43" t="e" cm="1">
        <f t="array" aca="1" ref="Z4" ca="1">MID(CELL("filename"),1,FIND("[",CELL("filename"))-1)&amp;"OutFiles\"</f>
        <v>#N/A</v>
      </c>
    </row>
    <row r="5" spans="1:26" ht="48.75" customHeight="1" x14ac:dyDescent="0.3">
      <c r="A5" s="24" t="s">
        <v>73</v>
      </c>
      <c r="B5" s="26" t="s">
        <v>69</v>
      </c>
      <c r="C5" s="26"/>
      <c r="D5" t="s">
        <v>72</v>
      </c>
      <c r="E5">
        <v>22875942</v>
      </c>
      <c r="F5" t="s">
        <v>224</v>
      </c>
      <c r="G5" t="s">
        <v>207</v>
      </c>
      <c r="H5" t="s">
        <v>15</v>
      </c>
      <c r="I5" s="9">
        <v>44210</v>
      </c>
      <c r="L5" s="12" t="s">
        <v>70</v>
      </c>
      <c r="M5" s="12" t="s">
        <v>78</v>
      </c>
      <c r="N5" s="12"/>
      <c r="O5" t="s">
        <v>71</v>
      </c>
      <c r="P5" s="12" t="s">
        <v>76</v>
      </c>
      <c r="Q5" s="12"/>
      <c r="R5">
        <v>1250</v>
      </c>
      <c r="S5" t="s">
        <v>58</v>
      </c>
      <c r="T5" s="9">
        <v>44235</v>
      </c>
      <c r="U5" s="12" t="s">
        <v>80</v>
      </c>
      <c r="V5" s="3" t="s">
        <v>16</v>
      </c>
      <c r="W5" s="12" t="str">
        <f>$W$3</f>
        <v>לא למלא שייך למערכת</v>
      </c>
      <c r="X5" s="43" t="str">
        <f>TEXT(ClientsDataIn[[#This Row],[מספר ת.ז.(חלק 1)]],"000000000")</f>
        <v>022875942</v>
      </c>
      <c r="Y5" s="43" t="str">
        <f>"F_"&amp;ClientsDataIn[[#This Row],[מספר ת.ז.(חלק 1)]]&amp;"_"&amp;ClientsDataIn[[#This Row],[102 = נאמן 103 = סוכן משלם X=אישור העברה]]&amp;".pdf"</f>
        <v>F_22875942_X.pdf</v>
      </c>
      <c r="Z5" s="44" t="e" cm="1">
        <f t="array" aca="1" ref="Z5" ca="1">MID(CELL("filename"),1,FIND("[",CELL("filename"))-1)&amp;"OutFiles\"</f>
        <v>#N/A</v>
      </c>
    </row>
    <row r="6" spans="1:26" ht="46.8" x14ac:dyDescent="0.3">
      <c r="A6">
        <v>103</v>
      </c>
      <c r="B6" s="26" t="s">
        <v>70</v>
      </c>
      <c r="C6" s="26"/>
      <c r="D6" t="s">
        <v>67</v>
      </c>
      <c r="E6">
        <v>125664</v>
      </c>
      <c r="F6" t="s">
        <v>225</v>
      </c>
      <c r="G6" t="s">
        <v>208</v>
      </c>
      <c r="H6" t="s">
        <v>68</v>
      </c>
      <c r="I6" s="9">
        <v>44221</v>
      </c>
      <c r="J6">
        <v>58266</v>
      </c>
      <c r="K6" t="s">
        <v>58</v>
      </c>
      <c r="L6" s="12" t="s">
        <v>121</v>
      </c>
      <c r="M6">
        <v>45262.23</v>
      </c>
      <c r="N6" s="15">
        <v>0.35</v>
      </c>
      <c r="O6" s="12" t="s">
        <v>66</v>
      </c>
      <c r="P6" s="12" t="s">
        <v>98</v>
      </c>
      <c r="Q6" s="12" t="s">
        <v>99</v>
      </c>
      <c r="R6">
        <v>15263.25</v>
      </c>
      <c r="S6" t="s">
        <v>58</v>
      </c>
      <c r="V6" s="3" t="s">
        <v>16</v>
      </c>
      <c r="W6" s="12" t="str">
        <f>$W$3</f>
        <v>לא למלא שייך למערכת</v>
      </c>
      <c r="X6" s="44" t="str">
        <f>TEXT(ClientsDataIn[[#This Row],[מספר ת.ז.(חלק 1)]],"000000000")</f>
        <v>000125664</v>
      </c>
      <c r="Y6" s="44" t="str">
        <f>"F_"&amp;ClientsDataIn[[#This Row],[מספר ת.ז.(חלק 1)]]&amp;"_"&amp;ClientsDataIn[[#This Row],[102 = נאמן 103 = סוכן משלם X=אישור העברה]]&amp;".pdf"</f>
        <v>F_125664_103.pdf</v>
      </c>
      <c r="Z6" s="44" t="e" cm="1">
        <f t="array" aca="1" ref="Z6" ca="1">MID(CELL("filename"),1,FIND("[",CELL("filename"))-1)&amp;"OutFiles\"</f>
        <v>#N/A</v>
      </c>
    </row>
    <row r="7" spans="1:26" ht="46.8" x14ac:dyDescent="0.3">
      <c r="A7" t="s">
        <v>194</v>
      </c>
      <c r="B7" s="26" t="s">
        <v>69</v>
      </c>
      <c r="C7" s="26"/>
      <c r="D7" t="s">
        <v>72</v>
      </c>
      <c r="E7">
        <v>22875942</v>
      </c>
      <c r="F7" t="s">
        <v>223</v>
      </c>
      <c r="G7" t="s">
        <v>207</v>
      </c>
      <c r="H7" t="s">
        <v>15</v>
      </c>
      <c r="I7" s="9">
        <v>44221</v>
      </c>
      <c r="L7" s="12" t="s">
        <v>70</v>
      </c>
      <c r="M7" s="12" t="s">
        <v>78</v>
      </c>
      <c r="N7" s="12"/>
      <c r="O7" t="s">
        <v>71</v>
      </c>
      <c r="P7" s="12"/>
      <c r="Q7" s="12"/>
      <c r="R7">
        <v>1250</v>
      </c>
      <c r="S7" t="s">
        <v>58</v>
      </c>
      <c r="U7" s="12" t="s">
        <v>80</v>
      </c>
      <c r="V7" s="3" t="s">
        <v>16</v>
      </c>
      <c r="W7" s="12" t="str">
        <f>$W$3</f>
        <v>לא למלא שייך למערכת</v>
      </c>
      <c r="X7" s="44" t="str">
        <f>TEXT(ClientsDataIn[[#This Row],[מספר ת.ז.(חלק 1)]],"000000000")</f>
        <v>022875942</v>
      </c>
      <c r="Y7" s="44" t="str">
        <f>"F_"&amp;ClientsDataIn[[#This Row],[מספר ת.ז.(חלק 1)]]&amp;"_"&amp;ClientsDataIn[[#This Row],[102 = נאמן 103 = סוכן משלם X=אישור העברה]]&amp;".pdf"</f>
        <v>F_22875942_103X.pdf</v>
      </c>
      <c r="Z7" s="44" t="e" cm="1">
        <f t="array" aca="1" ref="Z7" ca="1">MID(CELL("filename"),1,FIND("[",CELL("filename"))-1)&amp;"OutFiles\"</f>
        <v>#N/A</v>
      </c>
    </row>
  </sheetData>
  <hyperlinks>
    <hyperlink ref="V3" r:id="rId1" xr:uid="{7F6284C8-7D7F-4C85-A0B9-464F2096B5E5}"/>
    <hyperlink ref="V4" r:id="rId2" xr:uid="{679481B9-C233-4C04-8D3A-20E932A6A4D0}"/>
    <hyperlink ref="V5" r:id="rId3" xr:uid="{7290FF35-7537-4A63-A85B-124593A5B660}"/>
    <hyperlink ref="V6" r:id="rId4" xr:uid="{3A71F248-C691-4073-8A3E-4A1AE32466CD}"/>
    <hyperlink ref="V7" r:id="rId5" xr:uid="{5F980969-8C78-46DD-99BD-811E4A1080A8}"/>
  </hyperlinks>
  <pageMargins left="0.7" right="0.7" top="0.75" bottom="0.75" header="0.3" footer="0.3"/>
  <pageSetup paperSize="9" orientation="portrait" r:id="rId6"/>
  <ignoredErrors>
    <ignoredError sqref="Y2:Z2" calculatedColumn="1"/>
  </ignoredErrors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4A06FB-0300-4D20-AAEC-1A611D42CE15}">
  <sheetPr codeName="גיליון2"/>
  <dimension ref="A1:AS74"/>
  <sheetViews>
    <sheetView rightToLeft="1" topLeftCell="O1" workbookViewId="0">
      <selection activeCell="AE1" sqref="AE1"/>
    </sheetView>
  </sheetViews>
  <sheetFormatPr defaultRowHeight="15.6" x14ac:dyDescent="0.3"/>
  <cols>
    <col min="1" max="3" width="13.3984375" customWidth="1"/>
    <col min="4" max="4" width="5.09765625" customWidth="1"/>
    <col min="5" max="5" width="6" customWidth="1"/>
    <col min="6" max="6" width="13.3984375" customWidth="1"/>
    <col min="7" max="7" width="20.5" customWidth="1"/>
    <col min="8" max="8" width="9.3984375" customWidth="1"/>
    <col min="9" max="9" width="22.5" customWidth="1"/>
    <col min="10" max="10" width="28.69921875" customWidth="1"/>
    <col min="11" max="11" width="9.5" customWidth="1"/>
    <col min="12" max="12" width="12.3984375" customWidth="1"/>
    <col min="13" max="21" width="13.3984375" customWidth="1"/>
    <col min="22" max="23" width="7.5" customWidth="1"/>
    <col min="24" max="25" width="3" customWidth="1"/>
    <col min="26" max="26" width="13.3984375" customWidth="1"/>
    <col min="27" max="27" width="20.5" bestFit="1" customWidth="1"/>
    <col min="28" max="28" width="9.3984375" bestFit="1" customWidth="1"/>
    <col min="29" max="29" width="22.5" bestFit="1" customWidth="1"/>
    <col min="30" max="30" width="28.69921875" bestFit="1" customWidth="1"/>
    <col min="31" max="31" width="9.5" bestFit="1" customWidth="1"/>
    <col min="32" max="32" width="2.8984375" customWidth="1"/>
    <col min="33" max="33" width="11.3984375" customWidth="1"/>
    <col min="34" max="35" width="9.5" bestFit="1" customWidth="1"/>
    <col min="36" max="36" width="3.3984375" customWidth="1"/>
    <col min="38" max="38" width="2.3984375" customWidth="1"/>
    <col min="39" max="39" width="9.69921875" bestFit="1" customWidth="1"/>
    <col min="40" max="40" width="3.09765625" customWidth="1"/>
    <col min="41" max="41" width="9.69921875" bestFit="1" customWidth="1"/>
    <col min="42" max="42" width="20.5" bestFit="1" customWidth="1"/>
    <col min="43" max="43" width="8.19921875" bestFit="1" customWidth="1"/>
    <col min="44" max="44" width="22.5" bestFit="1" customWidth="1"/>
    <col min="45" max="45" width="28.69921875" bestFit="1" customWidth="1"/>
    <col min="46" max="46" width="2.3984375" customWidth="1"/>
  </cols>
  <sheetData>
    <row r="1" spans="1:45" ht="31.8" thickBot="1" x14ac:dyDescent="0.35">
      <c r="A1" s="71" t="s">
        <v>163</v>
      </c>
      <c r="B1" s="72" t="s">
        <v>164</v>
      </c>
      <c r="C1" s="72" t="s">
        <v>165</v>
      </c>
      <c r="D1" s="71" t="s">
        <v>166</v>
      </c>
      <c r="E1" s="72" t="s">
        <v>167</v>
      </c>
      <c r="F1" s="72" t="s">
        <v>140</v>
      </c>
      <c r="G1" s="73" t="s">
        <v>134</v>
      </c>
      <c r="H1" s="73" t="s">
        <v>135</v>
      </c>
      <c r="I1" s="73" t="s">
        <v>136</v>
      </c>
      <c r="J1" s="73" t="s">
        <v>137</v>
      </c>
      <c r="K1" s="73" t="s">
        <v>138</v>
      </c>
      <c r="L1" s="73" t="s">
        <v>168</v>
      </c>
      <c r="M1" s="73" t="s">
        <v>169</v>
      </c>
      <c r="N1" s="73" t="s">
        <v>170</v>
      </c>
      <c r="O1" s="73" t="s">
        <v>171</v>
      </c>
      <c r="P1" s="73" t="s">
        <v>172</v>
      </c>
      <c r="Q1" s="73" t="s">
        <v>173</v>
      </c>
      <c r="R1" s="73" t="s">
        <v>174</v>
      </c>
      <c r="S1" s="73" t="s">
        <v>175</v>
      </c>
      <c r="T1" s="73" t="s">
        <v>176</v>
      </c>
      <c r="U1" s="73" t="s">
        <v>177</v>
      </c>
      <c r="V1" s="73" t="s">
        <v>178</v>
      </c>
      <c r="W1" s="73" t="s">
        <v>179</v>
      </c>
      <c r="X1" s="73" t="s">
        <v>188</v>
      </c>
      <c r="Y1" s="73" t="s">
        <v>189</v>
      </c>
      <c r="Z1" s="73" t="s">
        <v>139</v>
      </c>
      <c r="AA1" s="74" t="s">
        <v>83</v>
      </c>
      <c r="AB1" s="75" t="s">
        <v>19</v>
      </c>
      <c r="AC1" s="76" t="s">
        <v>86</v>
      </c>
      <c r="AD1" s="77" t="s">
        <v>18</v>
      </c>
      <c r="AE1" s="78" t="s">
        <v>151</v>
      </c>
      <c r="AG1" s="42" t="str" cm="1">
        <f t="array" ref="AG1">StartDataSecond</f>
        <v>מספר זהות/ID</v>
      </c>
      <c r="AH1" s="68" t="str">
        <f>TblDataSecond[[#Headers],[NumRows]]</f>
        <v>NumRows</v>
      </c>
      <c r="AI1" s="68" t="str">
        <f>TblDataSecond[[#Headers],[NumRows]]</f>
        <v>NumRows</v>
      </c>
      <c r="AK1" s="42" t="str" cm="1">
        <f t="array" ref="AK1">StartDataSecond</f>
        <v>מספר זהות/ID</v>
      </c>
      <c r="AM1" s="42" t="str" cm="1">
        <f t="array" ref="AM1">StartDataSecond</f>
        <v>מספר זהות/ID</v>
      </c>
      <c r="AO1" s="42" t="str">
        <f>StartSecondTable</f>
        <v>מספר זהות/ID</v>
      </c>
      <c r="AP1" s="64" t="str">
        <f>TblDataSecond[[#Headers],[Mail]]</f>
        <v>Mail</v>
      </c>
      <c r="AQ1" s="65" t="str">
        <f>TblDataSecond[[#Headers],[PassWord]]</f>
        <v>PassWord</v>
      </c>
      <c r="AR1" s="42" t="str">
        <f>TblDataSecond[[#Headers],[NotRun]]</f>
        <v>NotRun</v>
      </c>
      <c r="AS1" s="66" t="str">
        <f>TblDataSecond[[#Headers],[FileDir]]</f>
        <v>FileDir</v>
      </c>
    </row>
    <row r="2" spans="1:45" ht="16.2" thickTop="1" x14ac:dyDescent="0.3">
      <c r="A2" s="79">
        <v>1234</v>
      </c>
      <c r="B2" s="80" t="s">
        <v>155</v>
      </c>
      <c r="C2" s="79" t="s">
        <v>156</v>
      </c>
      <c r="D2" s="80" t="s">
        <v>180</v>
      </c>
      <c r="E2" s="80">
        <v>44351</v>
      </c>
      <c r="F2" s="79">
        <v>100</v>
      </c>
      <c r="G2" s="80">
        <v>42782</v>
      </c>
      <c r="H2" s="81">
        <v>64</v>
      </c>
      <c r="I2" s="81">
        <v>1</v>
      </c>
      <c r="J2" s="80">
        <v>42005</v>
      </c>
      <c r="K2" s="81">
        <v>6399</v>
      </c>
      <c r="L2" s="79" t="s">
        <v>181</v>
      </c>
      <c r="M2" s="81">
        <v>30</v>
      </c>
      <c r="N2" s="81">
        <v>6</v>
      </c>
      <c r="O2" s="82">
        <v>0.62</v>
      </c>
      <c r="P2" s="83">
        <v>1500</v>
      </c>
      <c r="Q2" s="82">
        <v>0.28000000000000003</v>
      </c>
      <c r="R2" s="83">
        <v>25</v>
      </c>
      <c r="S2" s="84">
        <v>937</v>
      </c>
      <c r="T2" s="84">
        <v>22</v>
      </c>
      <c r="U2" s="84">
        <v>3000</v>
      </c>
      <c r="V2" s="84"/>
      <c r="W2" s="82"/>
      <c r="X2" s="82"/>
      <c r="Y2" s="82"/>
      <c r="Z2" s="79">
        <v>3.4312758039810274</v>
      </c>
      <c r="AA2" s="85" t="s">
        <v>157</v>
      </c>
      <c r="AB2" s="79" t="str">
        <f>TEXT(TblDataSecond[[#This Row],[מספר זהות/ID]],"000000000")</f>
        <v>000001234</v>
      </c>
      <c r="AC2" s="79" t="str">
        <f>File2Name&amp;"_F_"&amp;INT(TblDataSecond[[#This Row],[NumRows]]/CountMax)+1&amp;"_"&amp;TblDataSecond[[#This Row],[PassWord]]&amp;".pdf"</f>
        <v>DataSecond_F_1_000001234.pdf</v>
      </c>
      <c r="AD2" s="79" t="e" cm="1">
        <f t="array" aca="1" ref="AD2" ca="1">MID(CELL("filename"),1,FIND("[",CELL("filename"))-1)&amp;"OutFiles\"</f>
        <v>#N/A</v>
      </c>
      <c r="AE2" s="86">
        <f>COUNTIFS($A$2:A2,TblDataSecond[[#This Row],[מספר זהות/ID]])</f>
        <v>1</v>
      </c>
      <c r="AG2" s="57">
        <v>12345</v>
      </c>
      <c r="AH2" s="67" t="s">
        <v>203</v>
      </c>
      <c r="AI2" s="67" t="s">
        <v>204</v>
      </c>
      <c r="AM2" s="79">
        <v>1234</v>
      </c>
      <c r="AO2" s="79">
        <v>1234</v>
      </c>
      <c r="AP2" s="85" t="s">
        <v>157</v>
      </c>
      <c r="AQ2" s="79" t="s">
        <v>182</v>
      </c>
      <c r="AR2" s="79" t="s">
        <v>183</v>
      </c>
      <c r="AS2" s="79" t="s">
        <v>152</v>
      </c>
    </row>
    <row r="3" spans="1:45" x14ac:dyDescent="0.3">
      <c r="A3" s="79">
        <v>1234</v>
      </c>
      <c r="B3" s="80" t="s">
        <v>155</v>
      </c>
      <c r="C3" s="79" t="s">
        <v>156</v>
      </c>
      <c r="D3" s="80" t="s">
        <v>180</v>
      </c>
      <c r="E3" s="80">
        <v>44351</v>
      </c>
      <c r="F3" s="79">
        <v>101</v>
      </c>
      <c r="G3" s="80">
        <v>42782</v>
      </c>
      <c r="H3" s="81">
        <v>64</v>
      </c>
      <c r="I3" s="81">
        <v>1</v>
      </c>
      <c r="J3" s="80">
        <v>42006</v>
      </c>
      <c r="K3" s="81">
        <v>6463</v>
      </c>
      <c r="L3" s="79" t="s">
        <v>181</v>
      </c>
      <c r="M3" s="81">
        <v>30</v>
      </c>
      <c r="N3" s="81">
        <v>6</v>
      </c>
      <c r="O3" s="82">
        <v>0.62</v>
      </c>
      <c r="P3" s="83">
        <v>1501</v>
      </c>
      <c r="Q3" s="82">
        <v>0.28000000000000003</v>
      </c>
      <c r="R3" s="83">
        <v>26</v>
      </c>
      <c r="S3" s="84">
        <v>937.9</v>
      </c>
      <c r="T3" s="84"/>
      <c r="U3" s="84">
        <v>3000</v>
      </c>
      <c r="V3" s="87">
        <v>30</v>
      </c>
      <c r="W3" s="81">
        <v>100</v>
      </c>
      <c r="X3" s="81"/>
      <c r="Y3" s="81"/>
      <c r="Z3" s="79">
        <v>3.4312758039810274</v>
      </c>
      <c r="AA3" s="85" t="s">
        <v>157</v>
      </c>
      <c r="AB3" s="79" t="str">
        <f>TEXT(TblDataSecond[[#This Row],[מספר זהות/ID]],"000000000")</f>
        <v>000001234</v>
      </c>
      <c r="AC3" s="79" t="str">
        <f>File2Name&amp;"_F_"&amp;INT(TblDataSecond[[#This Row],[NumRows]]/CountMax)+1&amp;"_"&amp;TblDataSecond[[#This Row],[PassWord]]&amp;".pdf"</f>
        <v>DataSecond_F_1_000001234.pdf</v>
      </c>
      <c r="AD3" s="79" t="e" cm="1">
        <f t="array" aca="1" ref="AD3" ca="1">MID(CELL("filename"),1,FIND("[",CELL("filename"))-1)&amp;"OutFiles\"</f>
        <v>#N/A</v>
      </c>
      <c r="AE3" s="86">
        <f>COUNTIFS($A$2:A3,TblDataSecond[[#This Row],[מספר זהות/ID]])</f>
        <v>2</v>
      </c>
      <c r="AM3" s="88">
        <v>12345</v>
      </c>
      <c r="AO3" s="88">
        <v>12345</v>
      </c>
      <c r="AP3" s="85" t="s">
        <v>159</v>
      </c>
      <c r="AQ3" s="86" t="s">
        <v>184</v>
      </c>
      <c r="AR3" s="86" t="s">
        <v>185</v>
      </c>
      <c r="AS3" s="86" t="s">
        <v>152</v>
      </c>
    </row>
    <row r="4" spans="1:45" x14ac:dyDescent="0.3">
      <c r="A4" s="79">
        <v>1234</v>
      </c>
      <c r="B4" s="80" t="s">
        <v>155</v>
      </c>
      <c r="C4" s="79" t="s">
        <v>156</v>
      </c>
      <c r="D4" s="80" t="s">
        <v>180</v>
      </c>
      <c r="E4" s="80">
        <v>44351</v>
      </c>
      <c r="F4" s="79">
        <v>102</v>
      </c>
      <c r="G4" s="80">
        <v>42782</v>
      </c>
      <c r="H4" s="81">
        <v>64</v>
      </c>
      <c r="I4" s="81">
        <v>1</v>
      </c>
      <c r="J4" s="80">
        <v>42007</v>
      </c>
      <c r="K4" s="81">
        <v>6527</v>
      </c>
      <c r="L4" s="79" t="s">
        <v>181</v>
      </c>
      <c r="M4" s="81">
        <v>30</v>
      </c>
      <c r="N4" s="81">
        <v>6</v>
      </c>
      <c r="O4" s="82">
        <v>0.62</v>
      </c>
      <c r="P4" s="83">
        <v>1502</v>
      </c>
      <c r="Q4" s="82">
        <v>0.28000000000000003</v>
      </c>
      <c r="R4" s="83">
        <v>27</v>
      </c>
      <c r="S4" s="84">
        <v>938.8</v>
      </c>
      <c r="T4" s="84"/>
      <c r="U4" s="84">
        <v>3000</v>
      </c>
      <c r="V4" s="84"/>
      <c r="W4" s="82"/>
      <c r="X4" s="82"/>
      <c r="Y4" s="82"/>
      <c r="Z4" s="79">
        <v>3.4312758039810274</v>
      </c>
      <c r="AA4" s="85" t="s">
        <v>157</v>
      </c>
      <c r="AB4" s="79" t="str">
        <f>TEXT(TblDataSecond[[#This Row],[מספר זהות/ID]],"000000000")</f>
        <v>000001234</v>
      </c>
      <c r="AC4" s="79" t="str">
        <f>File2Name&amp;"_F_"&amp;INT(TblDataSecond[[#This Row],[NumRows]]/CountMax)+1&amp;"_"&amp;TblDataSecond[[#This Row],[PassWord]]&amp;".pdf"</f>
        <v>DataSecond_F_1_000001234.pdf</v>
      </c>
      <c r="AD4" s="79" t="e" cm="1">
        <f t="array" aca="1" ref="AD4" ca="1">MID(CELL("filename"),1,FIND("[",CELL("filename"))-1)&amp;"OutFiles\"</f>
        <v>#N/A</v>
      </c>
      <c r="AE4" s="86">
        <f>COUNTIFS($A$2:A4,TblDataSecond[[#This Row],[מספר זהות/ID]])</f>
        <v>3</v>
      </c>
      <c r="AO4" s="88">
        <v>12345</v>
      </c>
      <c r="AP4" s="85" t="s">
        <v>159</v>
      </c>
      <c r="AQ4" s="89" t="s">
        <v>184</v>
      </c>
      <c r="AR4" s="89" t="s">
        <v>186</v>
      </c>
      <c r="AS4" s="89" t="s">
        <v>152</v>
      </c>
    </row>
    <row r="5" spans="1:45" x14ac:dyDescent="0.3">
      <c r="A5" s="79">
        <v>1234</v>
      </c>
      <c r="B5" s="80" t="s">
        <v>155</v>
      </c>
      <c r="C5" s="79" t="s">
        <v>156</v>
      </c>
      <c r="D5" s="80" t="s">
        <v>180</v>
      </c>
      <c r="E5" s="80">
        <v>44351</v>
      </c>
      <c r="F5" s="79">
        <v>103</v>
      </c>
      <c r="G5" s="80">
        <v>42782</v>
      </c>
      <c r="H5" s="81">
        <v>64</v>
      </c>
      <c r="I5" s="81">
        <v>1</v>
      </c>
      <c r="J5" s="80">
        <v>42008</v>
      </c>
      <c r="K5" s="81">
        <v>6591</v>
      </c>
      <c r="L5" s="79" t="s">
        <v>181</v>
      </c>
      <c r="M5" s="81">
        <v>30</v>
      </c>
      <c r="N5" s="81">
        <v>6</v>
      </c>
      <c r="O5" s="82">
        <v>0.62</v>
      </c>
      <c r="P5" s="83">
        <v>1503</v>
      </c>
      <c r="Q5" s="82">
        <v>0.28000000000000003</v>
      </c>
      <c r="R5" s="83">
        <v>28</v>
      </c>
      <c r="S5" s="84">
        <v>939.7</v>
      </c>
      <c r="T5" s="84"/>
      <c r="U5" s="84">
        <v>3000</v>
      </c>
      <c r="V5" s="84"/>
      <c r="W5" s="82"/>
      <c r="X5" s="82"/>
      <c r="Y5" s="82"/>
      <c r="Z5" s="79">
        <v>3.4312758039810274</v>
      </c>
      <c r="AA5" s="85" t="s">
        <v>157</v>
      </c>
      <c r="AB5" s="86" t="str">
        <f>TEXT(TblDataSecond[[#This Row],[מספר זהות/ID]],"000000000")</f>
        <v>000001234</v>
      </c>
      <c r="AC5" s="86" t="str">
        <f>File2Name&amp;"_F_"&amp;INT(TblDataSecond[[#This Row],[NumRows]]/CountMax)+1&amp;"_"&amp;TblDataSecond[[#This Row],[PassWord]]&amp;".pdf"</f>
        <v>DataSecond_F_1_000001234.pdf</v>
      </c>
      <c r="AD5" s="86" t="e" cm="1">
        <f t="array" aca="1" ref="AD5" ca="1">MID(CELL("filename"),1,FIND("[",CELL("filename"))-1)&amp;"OutFiles\"</f>
        <v>#N/A</v>
      </c>
      <c r="AE5" s="86">
        <f>COUNTIFS($A$2:A5,TblDataSecond[[#This Row],[מספר זהות/ID]])</f>
        <v>4</v>
      </c>
      <c r="AO5" s="88">
        <v>12345</v>
      </c>
      <c r="AP5" s="85" t="s">
        <v>159</v>
      </c>
      <c r="AQ5" s="89" t="s">
        <v>184</v>
      </c>
      <c r="AR5" s="89" t="s">
        <v>187</v>
      </c>
      <c r="AS5" s="89" t="s">
        <v>152</v>
      </c>
    </row>
    <row r="6" spans="1:45" x14ac:dyDescent="0.3">
      <c r="A6" s="79">
        <v>1234</v>
      </c>
      <c r="B6" s="80" t="s">
        <v>155</v>
      </c>
      <c r="C6" s="79" t="s">
        <v>156</v>
      </c>
      <c r="D6" s="80" t="s">
        <v>180</v>
      </c>
      <c r="E6" s="80">
        <v>44351</v>
      </c>
      <c r="F6" s="79">
        <v>104</v>
      </c>
      <c r="G6" s="80">
        <v>42782</v>
      </c>
      <c r="H6" s="81">
        <v>64</v>
      </c>
      <c r="I6" s="81">
        <v>1</v>
      </c>
      <c r="J6" s="80">
        <v>42009</v>
      </c>
      <c r="K6" s="81">
        <v>6655</v>
      </c>
      <c r="L6" s="79" t="s">
        <v>181</v>
      </c>
      <c r="M6" s="81">
        <v>30</v>
      </c>
      <c r="N6" s="81">
        <v>6</v>
      </c>
      <c r="O6" s="82">
        <v>0.62</v>
      </c>
      <c r="P6" s="83">
        <v>1504</v>
      </c>
      <c r="Q6" s="82">
        <v>0.28000000000000003</v>
      </c>
      <c r="R6" s="83">
        <v>29</v>
      </c>
      <c r="S6" s="84">
        <v>940.6</v>
      </c>
      <c r="T6" s="84"/>
      <c r="U6" s="84">
        <v>3000</v>
      </c>
      <c r="V6" s="84"/>
      <c r="W6" s="82"/>
      <c r="X6" s="82"/>
      <c r="Y6" s="82"/>
      <c r="Z6" s="79">
        <v>3.3998070490753061</v>
      </c>
      <c r="AA6" s="85" t="s">
        <v>157</v>
      </c>
      <c r="AB6" s="86" t="str">
        <f>TEXT(TblDataSecond[[#This Row],[מספר זהות/ID]],"000000000")</f>
        <v>000001234</v>
      </c>
      <c r="AC6" s="86" t="str">
        <f>File2Name&amp;"_F_"&amp;INT(TblDataSecond[[#This Row],[NumRows]]/CountMax)+1&amp;"_"&amp;TblDataSecond[[#This Row],[PassWord]]&amp;".pdf"</f>
        <v>DataSecond_F_1_000001234.pdf</v>
      </c>
      <c r="AD6" s="86" t="e" cm="1">
        <f t="array" aca="1" ref="AD6" ca="1">MID(CELL("filename"),1,FIND("[",CELL("filename"))-1)&amp;"OutFiles\"</f>
        <v>#N/A</v>
      </c>
      <c r="AE6" s="86">
        <f>COUNTIFS($A$2:A6,TblDataSecond[[#This Row],[מספר זהות/ID]])</f>
        <v>5</v>
      </c>
      <c r="AQ6" s="62"/>
      <c r="AR6" s="62"/>
      <c r="AS6" s="62"/>
    </row>
    <row r="7" spans="1:45" x14ac:dyDescent="0.3">
      <c r="A7" s="79">
        <v>1234</v>
      </c>
      <c r="B7" s="80" t="s">
        <v>155</v>
      </c>
      <c r="C7" s="79" t="s">
        <v>156</v>
      </c>
      <c r="D7" s="80" t="s">
        <v>180</v>
      </c>
      <c r="E7" s="80">
        <v>44351</v>
      </c>
      <c r="F7" s="79">
        <v>105</v>
      </c>
      <c r="G7" s="80">
        <v>42782</v>
      </c>
      <c r="H7" s="81">
        <v>64</v>
      </c>
      <c r="I7" s="81">
        <v>1</v>
      </c>
      <c r="J7" s="80">
        <v>42010</v>
      </c>
      <c r="K7" s="81">
        <v>6719</v>
      </c>
      <c r="L7" s="79" t="s">
        <v>181</v>
      </c>
      <c r="M7" s="81">
        <v>30</v>
      </c>
      <c r="N7" s="81">
        <v>6</v>
      </c>
      <c r="O7" s="82">
        <v>0.62</v>
      </c>
      <c r="P7" s="83">
        <v>1505</v>
      </c>
      <c r="Q7" s="82">
        <v>0.28000000000000003</v>
      </c>
      <c r="R7" s="83">
        <v>30</v>
      </c>
      <c r="S7" s="84">
        <v>941.5</v>
      </c>
      <c r="T7" s="84"/>
      <c r="U7" s="84">
        <v>3000</v>
      </c>
      <c r="V7" s="84"/>
      <c r="W7" s="82"/>
      <c r="X7" s="82"/>
      <c r="Y7" s="82"/>
      <c r="Z7" s="79">
        <v>3.3998070490753061</v>
      </c>
      <c r="AA7" s="85" t="s">
        <v>157</v>
      </c>
      <c r="AB7" s="86" t="str">
        <f>TEXT(TblDataSecond[[#This Row],[מספר זהות/ID]],"000000000")</f>
        <v>000001234</v>
      </c>
      <c r="AC7" s="86" t="str">
        <f>File2Name&amp;"_F_"&amp;INT(TblDataSecond[[#This Row],[NumRows]]/CountMax)+1&amp;"_"&amp;TblDataSecond[[#This Row],[PassWord]]&amp;".pdf"</f>
        <v>DataSecond_F_1_000001234.pdf</v>
      </c>
      <c r="AD7" s="86" t="e" cm="1">
        <f t="array" aca="1" ref="AD7" ca="1">MID(CELL("filename"),1,FIND("[",CELL("filename"))-1)&amp;"OutFiles\"</f>
        <v>#N/A</v>
      </c>
      <c r="AE7" s="86">
        <f>COUNTIFS($A$2:A7,TblDataSecond[[#This Row],[מספר זהות/ID]])</f>
        <v>6</v>
      </c>
      <c r="AQ7" s="62"/>
      <c r="AR7" s="62"/>
      <c r="AS7" s="62"/>
    </row>
    <row r="8" spans="1:45" x14ac:dyDescent="0.3">
      <c r="A8" s="79">
        <v>1234</v>
      </c>
      <c r="B8" s="80" t="s">
        <v>155</v>
      </c>
      <c r="C8" s="79" t="s">
        <v>156</v>
      </c>
      <c r="D8" s="80" t="s">
        <v>180</v>
      </c>
      <c r="E8" s="80">
        <v>44351</v>
      </c>
      <c r="F8" s="79">
        <v>106</v>
      </c>
      <c r="G8" s="80">
        <v>42782</v>
      </c>
      <c r="H8" s="81">
        <v>64</v>
      </c>
      <c r="I8" s="81">
        <v>1</v>
      </c>
      <c r="J8" s="80">
        <v>42011</v>
      </c>
      <c r="K8" s="81">
        <v>6783</v>
      </c>
      <c r="L8" s="79" t="s">
        <v>181</v>
      </c>
      <c r="M8" s="81">
        <v>30</v>
      </c>
      <c r="N8" s="81">
        <v>6</v>
      </c>
      <c r="O8" s="82">
        <v>0.62</v>
      </c>
      <c r="P8" s="83">
        <v>1506</v>
      </c>
      <c r="Q8" s="82">
        <v>0.28000000000000003</v>
      </c>
      <c r="R8" s="83">
        <v>31</v>
      </c>
      <c r="S8" s="84">
        <v>942.4</v>
      </c>
      <c r="T8" s="84"/>
      <c r="U8" s="84">
        <v>3000</v>
      </c>
      <c r="V8" s="84"/>
      <c r="W8" s="82"/>
      <c r="X8" s="82"/>
      <c r="Y8" s="82"/>
      <c r="Z8" s="79">
        <v>3.4020000000000001</v>
      </c>
      <c r="AA8" s="85" t="s">
        <v>157</v>
      </c>
      <c r="AB8" s="86" t="str">
        <f>TEXT(TblDataSecond[[#This Row],[מספר זהות/ID]],"000000000")</f>
        <v>000001234</v>
      </c>
      <c r="AC8" s="86" t="str">
        <f>File2Name&amp;"_F_"&amp;INT(TblDataSecond[[#This Row],[NumRows]]/CountMax)+1&amp;"_"&amp;TblDataSecond[[#This Row],[PassWord]]&amp;".pdf"</f>
        <v>DataSecond_F_1_000001234.pdf</v>
      </c>
      <c r="AD8" s="86" t="e" cm="1">
        <f t="array" aca="1" ref="AD8" ca="1">MID(CELL("filename"),1,FIND("[",CELL("filename"))-1)&amp;"OutFiles\"</f>
        <v>#N/A</v>
      </c>
      <c r="AE8" s="86">
        <f>COUNTIFS($A$2:A8,TblDataSecond[[#This Row],[מספר זהות/ID]])</f>
        <v>7</v>
      </c>
      <c r="AQ8" s="62"/>
      <c r="AR8" s="62"/>
      <c r="AS8" s="62"/>
    </row>
    <row r="9" spans="1:45" x14ac:dyDescent="0.3">
      <c r="A9" s="79">
        <v>1234</v>
      </c>
      <c r="B9" s="80" t="s">
        <v>155</v>
      </c>
      <c r="C9" s="79" t="s">
        <v>156</v>
      </c>
      <c r="D9" s="80" t="s">
        <v>180</v>
      </c>
      <c r="E9" s="80">
        <v>44351</v>
      </c>
      <c r="F9" s="79">
        <v>107</v>
      </c>
      <c r="G9" s="80">
        <v>42782</v>
      </c>
      <c r="H9" s="81">
        <v>64</v>
      </c>
      <c r="I9" s="81">
        <v>1</v>
      </c>
      <c r="J9" s="80">
        <v>42012</v>
      </c>
      <c r="K9" s="81">
        <v>6847</v>
      </c>
      <c r="L9" s="79" t="s">
        <v>181</v>
      </c>
      <c r="M9" s="81">
        <v>30</v>
      </c>
      <c r="N9" s="81">
        <v>6</v>
      </c>
      <c r="O9" s="82">
        <v>0.62</v>
      </c>
      <c r="P9" s="83">
        <v>1507</v>
      </c>
      <c r="Q9" s="82">
        <v>0.28000000000000003</v>
      </c>
      <c r="R9" s="83">
        <v>32</v>
      </c>
      <c r="S9" s="84">
        <v>943.30000000000007</v>
      </c>
      <c r="T9" s="84"/>
      <c r="U9" s="84">
        <v>3000</v>
      </c>
      <c r="V9" s="84"/>
      <c r="W9" s="82"/>
      <c r="X9" s="82"/>
      <c r="Y9" s="82"/>
      <c r="Z9" s="79">
        <v>3.3819648000483791</v>
      </c>
      <c r="AA9" s="85" t="s">
        <v>157</v>
      </c>
      <c r="AB9" s="86" t="str">
        <f>TEXT(TblDataSecond[[#This Row],[מספר זהות/ID]],"000000000")</f>
        <v>000001234</v>
      </c>
      <c r="AC9" s="86" t="str">
        <f>File2Name&amp;"_F_"&amp;INT(TblDataSecond[[#This Row],[NumRows]]/CountMax)+1&amp;"_"&amp;TblDataSecond[[#This Row],[PassWord]]&amp;".pdf"</f>
        <v>DataSecond_F_1_000001234.pdf</v>
      </c>
      <c r="AD9" s="86" t="e" cm="1">
        <f t="array" aca="1" ref="AD9" ca="1">MID(CELL("filename"),1,FIND("[",CELL("filename"))-1)&amp;"OutFiles\"</f>
        <v>#N/A</v>
      </c>
      <c r="AE9" s="86">
        <f>COUNTIFS($A$2:A9,TblDataSecond[[#This Row],[מספר זהות/ID]])</f>
        <v>8</v>
      </c>
      <c r="AQ9" s="62"/>
      <c r="AR9" s="62"/>
      <c r="AS9" s="62"/>
    </row>
    <row r="10" spans="1:45" x14ac:dyDescent="0.3">
      <c r="A10" s="79">
        <v>1234</v>
      </c>
      <c r="B10" s="80" t="s">
        <v>155</v>
      </c>
      <c r="C10" s="79" t="s">
        <v>156</v>
      </c>
      <c r="D10" s="80" t="s">
        <v>180</v>
      </c>
      <c r="E10" s="80">
        <v>44351</v>
      </c>
      <c r="F10" s="79">
        <v>108</v>
      </c>
      <c r="G10" s="80">
        <v>42782</v>
      </c>
      <c r="H10" s="81">
        <v>64</v>
      </c>
      <c r="I10" s="81">
        <v>1</v>
      </c>
      <c r="J10" s="80">
        <v>42013</v>
      </c>
      <c r="K10" s="81">
        <v>6911</v>
      </c>
      <c r="L10" s="79" t="s">
        <v>181</v>
      </c>
      <c r="M10" s="81">
        <v>30</v>
      </c>
      <c r="N10" s="81">
        <v>6</v>
      </c>
      <c r="O10" s="82">
        <v>0.62</v>
      </c>
      <c r="P10" s="83">
        <v>1508</v>
      </c>
      <c r="Q10" s="82">
        <v>0.28000000000000003</v>
      </c>
      <c r="R10" s="83">
        <v>33</v>
      </c>
      <c r="S10" s="84">
        <v>944.2</v>
      </c>
      <c r="T10" s="84"/>
      <c r="U10" s="84">
        <v>3000</v>
      </c>
      <c r="V10" s="84"/>
      <c r="W10" s="82"/>
      <c r="X10" s="82"/>
      <c r="Y10" s="82"/>
      <c r="Z10" s="79">
        <v>3.3819648000483791</v>
      </c>
      <c r="AA10" s="85" t="s">
        <v>157</v>
      </c>
      <c r="AB10" s="86" t="str">
        <f>TEXT(TblDataSecond[[#This Row],[מספר זהות/ID]],"000000000")</f>
        <v>000001234</v>
      </c>
      <c r="AC10" s="86" t="str">
        <f>File2Name&amp;"_F_"&amp;INT(TblDataSecond[[#This Row],[NumRows]]/CountMax)+1&amp;"_"&amp;TblDataSecond[[#This Row],[PassWord]]&amp;".pdf"</f>
        <v>DataSecond_F_1_000001234.pdf</v>
      </c>
      <c r="AD10" s="86" t="e" cm="1">
        <f t="array" aca="1" ref="AD10" ca="1">MID(CELL("filename"),1,FIND("[",CELL("filename"))-1)&amp;"OutFiles\"</f>
        <v>#N/A</v>
      </c>
      <c r="AE10" s="86">
        <f>COUNTIFS($A$2:A10,TblDataSecond[[#This Row],[מספר זהות/ID]])</f>
        <v>9</v>
      </c>
      <c r="AQ10" s="62"/>
      <c r="AR10" s="62"/>
      <c r="AS10" s="62"/>
    </row>
    <row r="11" spans="1:45" x14ac:dyDescent="0.3">
      <c r="A11" s="79">
        <v>1234</v>
      </c>
      <c r="B11" s="80" t="s">
        <v>155</v>
      </c>
      <c r="C11" s="79" t="s">
        <v>156</v>
      </c>
      <c r="D11" s="80" t="s">
        <v>180</v>
      </c>
      <c r="E11" s="80">
        <v>44351</v>
      </c>
      <c r="F11" s="79">
        <v>109</v>
      </c>
      <c r="G11" s="80">
        <v>42782</v>
      </c>
      <c r="H11" s="81">
        <v>64</v>
      </c>
      <c r="I11" s="81">
        <v>1</v>
      </c>
      <c r="J11" s="80">
        <v>42014</v>
      </c>
      <c r="K11" s="81">
        <v>6975</v>
      </c>
      <c r="L11" s="79" t="s">
        <v>181</v>
      </c>
      <c r="M11" s="81">
        <v>30</v>
      </c>
      <c r="N11" s="81">
        <v>6</v>
      </c>
      <c r="O11" s="82">
        <v>0.62</v>
      </c>
      <c r="P11" s="83">
        <v>1509</v>
      </c>
      <c r="Q11" s="82">
        <v>0.28000000000000003</v>
      </c>
      <c r="R11" s="83">
        <v>34</v>
      </c>
      <c r="S11" s="84">
        <v>945.1</v>
      </c>
      <c r="T11" s="84"/>
      <c r="U11" s="84">
        <v>3000</v>
      </c>
      <c r="V11" s="84"/>
      <c r="W11" s="82"/>
      <c r="X11" s="82"/>
      <c r="Y11" s="82"/>
      <c r="Z11" s="79">
        <v>3.3819648000483791</v>
      </c>
      <c r="AA11" s="85" t="s">
        <v>157</v>
      </c>
      <c r="AB11" s="86" t="str">
        <f>TEXT(TblDataSecond[[#This Row],[מספר זהות/ID]],"000000000")</f>
        <v>000001234</v>
      </c>
      <c r="AC11" s="86" t="str">
        <f>File2Name&amp;"_F_"&amp;INT(TblDataSecond[[#This Row],[NumRows]]/CountMax)+1&amp;"_"&amp;TblDataSecond[[#This Row],[PassWord]]&amp;".pdf"</f>
        <v>DataSecond_F_1_000001234.pdf</v>
      </c>
      <c r="AD11" s="86" t="e" cm="1">
        <f t="array" aca="1" ref="AD11" ca="1">MID(CELL("filename"),1,FIND("[",CELL("filename"))-1)&amp;"OutFiles\"</f>
        <v>#N/A</v>
      </c>
      <c r="AE11" s="86">
        <f>COUNTIFS($A$2:A11,TblDataSecond[[#This Row],[מספר זהות/ID]])</f>
        <v>10</v>
      </c>
      <c r="AQ11" s="62"/>
      <c r="AR11" s="62"/>
      <c r="AS11" s="62"/>
    </row>
    <row r="12" spans="1:45" x14ac:dyDescent="0.3">
      <c r="A12" s="79">
        <v>1234</v>
      </c>
      <c r="B12" s="80" t="s">
        <v>155</v>
      </c>
      <c r="C12" s="79" t="s">
        <v>156</v>
      </c>
      <c r="D12" s="80" t="s">
        <v>180</v>
      </c>
      <c r="E12" s="80">
        <v>44351</v>
      </c>
      <c r="F12" s="79">
        <v>110</v>
      </c>
      <c r="G12" s="80">
        <v>42782</v>
      </c>
      <c r="H12" s="81">
        <v>64</v>
      </c>
      <c r="I12" s="81">
        <v>1</v>
      </c>
      <c r="J12" s="80">
        <v>42015</v>
      </c>
      <c r="K12" s="81">
        <v>7039</v>
      </c>
      <c r="L12" s="79" t="s">
        <v>181</v>
      </c>
      <c r="M12" s="81">
        <v>30</v>
      </c>
      <c r="N12" s="81">
        <v>6</v>
      </c>
      <c r="O12" s="82">
        <v>0.62</v>
      </c>
      <c r="P12" s="83">
        <v>1510</v>
      </c>
      <c r="Q12" s="82">
        <v>0.28000000000000003</v>
      </c>
      <c r="R12" s="83">
        <v>35</v>
      </c>
      <c r="S12" s="84">
        <v>946</v>
      </c>
      <c r="T12" s="84"/>
      <c r="U12" s="84">
        <v>3000</v>
      </c>
      <c r="V12" s="84"/>
      <c r="W12" s="82"/>
      <c r="X12" s="82"/>
      <c r="Y12" s="82"/>
      <c r="Z12" s="79">
        <v>3.3819648000483791</v>
      </c>
      <c r="AA12" s="85" t="s">
        <v>157</v>
      </c>
      <c r="AB12" s="86" t="str">
        <f>TEXT(TblDataSecond[[#This Row],[מספר זהות/ID]],"000000000")</f>
        <v>000001234</v>
      </c>
      <c r="AC12" s="86" t="str">
        <f>File2Name&amp;"_F_"&amp;INT(TblDataSecond[[#This Row],[NumRows]]/CountMax)+1&amp;"_"&amp;TblDataSecond[[#This Row],[PassWord]]&amp;".pdf"</f>
        <v>DataSecond_F_1_000001234.pdf</v>
      </c>
      <c r="AD12" s="86" t="e" cm="1">
        <f t="array" aca="1" ref="AD12" ca="1">MID(CELL("filename"),1,FIND("[",CELL("filename"))-1)&amp;"OutFiles\"</f>
        <v>#N/A</v>
      </c>
      <c r="AE12" s="86">
        <f>COUNTIFS($A$2:A12,TblDataSecond[[#This Row],[מספר זהות/ID]])</f>
        <v>11</v>
      </c>
      <c r="AQ12" s="62"/>
      <c r="AR12" s="62"/>
      <c r="AS12" s="62"/>
    </row>
    <row r="13" spans="1:45" x14ac:dyDescent="0.3">
      <c r="A13" s="79">
        <v>1234</v>
      </c>
      <c r="B13" s="80" t="s">
        <v>155</v>
      </c>
      <c r="C13" s="79" t="s">
        <v>156</v>
      </c>
      <c r="D13" s="80" t="s">
        <v>180</v>
      </c>
      <c r="E13" s="80">
        <v>44351</v>
      </c>
      <c r="F13" s="79">
        <v>111</v>
      </c>
      <c r="G13" s="80">
        <v>42782</v>
      </c>
      <c r="H13" s="81">
        <v>64</v>
      </c>
      <c r="I13" s="81">
        <v>1</v>
      </c>
      <c r="J13" s="80">
        <v>42016</v>
      </c>
      <c r="K13" s="81">
        <v>7103</v>
      </c>
      <c r="L13" s="79" t="s">
        <v>181</v>
      </c>
      <c r="M13" s="81">
        <v>30</v>
      </c>
      <c r="N13" s="81">
        <v>6</v>
      </c>
      <c r="O13" s="82">
        <v>0.62</v>
      </c>
      <c r="P13" s="83">
        <v>1511</v>
      </c>
      <c r="Q13" s="82">
        <v>0.28000000000000003</v>
      </c>
      <c r="R13" s="83">
        <v>36</v>
      </c>
      <c r="S13" s="84">
        <v>946.90000000000009</v>
      </c>
      <c r="T13" s="84"/>
      <c r="U13" s="84">
        <v>3000</v>
      </c>
      <c r="V13" s="84"/>
      <c r="W13" s="82"/>
      <c r="X13" s="82"/>
      <c r="Y13" s="82"/>
      <c r="Z13" s="79">
        <v>3.3819648000483791</v>
      </c>
      <c r="AA13" s="85" t="s">
        <v>157</v>
      </c>
      <c r="AB13" s="86" t="str">
        <f>TEXT(TblDataSecond[[#This Row],[מספר זהות/ID]],"000000000")</f>
        <v>000001234</v>
      </c>
      <c r="AC13" s="86" t="str">
        <f>File2Name&amp;"_F_"&amp;INT(TblDataSecond[[#This Row],[NumRows]]/CountMax)+1&amp;"_"&amp;TblDataSecond[[#This Row],[PassWord]]&amp;".pdf"</f>
        <v>DataSecond_F_1_000001234.pdf</v>
      </c>
      <c r="AD13" s="86" t="e" cm="1">
        <f t="array" aca="1" ref="AD13" ca="1">MID(CELL("filename"),1,FIND("[",CELL("filename"))-1)&amp;"OutFiles\"</f>
        <v>#N/A</v>
      </c>
      <c r="AE13" s="86">
        <f>COUNTIFS($A$2:A13,TblDataSecond[[#This Row],[מספר זהות/ID]])</f>
        <v>12</v>
      </c>
      <c r="AQ13" s="62"/>
      <c r="AR13" s="62"/>
      <c r="AS13" s="62"/>
    </row>
    <row r="14" spans="1:45" x14ac:dyDescent="0.3">
      <c r="A14" s="79">
        <v>1234</v>
      </c>
      <c r="B14" s="80" t="s">
        <v>155</v>
      </c>
      <c r="C14" s="79" t="s">
        <v>156</v>
      </c>
      <c r="D14" s="80" t="s">
        <v>180</v>
      </c>
      <c r="E14" s="80">
        <v>44351</v>
      </c>
      <c r="F14" s="79">
        <v>112</v>
      </c>
      <c r="G14" s="80">
        <v>42782</v>
      </c>
      <c r="H14" s="81">
        <v>64</v>
      </c>
      <c r="I14" s="81">
        <v>1</v>
      </c>
      <c r="J14" s="80">
        <v>42017</v>
      </c>
      <c r="K14" s="81">
        <v>7167</v>
      </c>
      <c r="L14" s="79" t="s">
        <v>181</v>
      </c>
      <c r="M14" s="81">
        <v>30</v>
      </c>
      <c r="N14" s="81">
        <v>6</v>
      </c>
      <c r="O14" s="82">
        <v>0.62</v>
      </c>
      <c r="P14" s="83">
        <v>1512</v>
      </c>
      <c r="Q14" s="82">
        <v>0.28000000000000003</v>
      </c>
      <c r="R14" s="83">
        <v>37</v>
      </c>
      <c r="S14" s="84">
        <v>947.8</v>
      </c>
      <c r="T14" s="84"/>
      <c r="U14" s="84">
        <v>3000</v>
      </c>
      <c r="V14" s="84"/>
      <c r="W14" s="82"/>
      <c r="X14" s="82"/>
      <c r="Y14" s="82"/>
      <c r="Z14" s="79">
        <v>3.3819648000483791</v>
      </c>
      <c r="AA14" s="85" t="s">
        <v>157</v>
      </c>
      <c r="AB14" s="86" t="str">
        <f>TEXT(TblDataSecond[[#This Row],[מספר זהות/ID]],"000000000")</f>
        <v>000001234</v>
      </c>
      <c r="AC14" s="86" t="str">
        <f>File2Name&amp;"_F_"&amp;INT(TblDataSecond[[#This Row],[NumRows]]/CountMax)+1&amp;"_"&amp;TblDataSecond[[#This Row],[PassWord]]&amp;".pdf"</f>
        <v>DataSecond_F_1_000001234.pdf</v>
      </c>
      <c r="AD14" s="86" t="e" cm="1">
        <f t="array" aca="1" ref="AD14" ca="1">MID(CELL("filename"),1,FIND("[",CELL("filename"))-1)&amp;"OutFiles\"</f>
        <v>#N/A</v>
      </c>
      <c r="AE14" s="86">
        <f>COUNTIFS($A$2:A14,TblDataSecond[[#This Row],[מספר זהות/ID]])</f>
        <v>13</v>
      </c>
      <c r="AQ14" s="62"/>
      <c r="AR14" s="62"/>
      <c r="AS14" s="62"/>
    </row>
    <row r="15" spans="1:45" x14ac:dyDescent="0.3">
      <c r="A15" s="79">
        <v>1234</v>
      </c>
      <c r="B15" s="80" t="s">
        <v>155</v>
      </c>
      <c r="C15" s="79" t="s">
        <v>156</v>
      </c>
      <c r="D15" s="80" t="s">
        <v>180</v>
      </c>
      <c r="E15" s="80">
        <v>44351</v>
      </c>
      <c r="F15" s="79">
        <v>113</v>
      </c>
      <c r="G15" s="80">
        <v>42782</v>
      </c>
      <c r="H15" s="81">
        <v>64</v>
      </c>
      <c r="I15" s="81">
        <v>1</v>
      </c>
      <c r="J15" s="80">
        <v>42018</v>
      </c>
      <c r="K15" s="81">
        <v>7231</v>
      </c>
      <c r="L15" s="79" t="s">
        <v>181</v>
      </c>
      <c r="M15" s="81">
        <v>30</v>
      </c>
      <c r="N15" s="81">
        <v>6</v>
      </c>
      <c r="O15" s="82">
        <v>0.62</v>
      </c>
      <c r="P15" s="83">
        <v>1513</v>
      </c>
      <c r="Q15" s="82">
        <v>0.28000000000000003</v>
      </c>
      <c r="R15" s="83">
        <v>38</v>
      </c>
      <c r="S15" s="84">
        <v>948.69999999999993</v>
      </c>
      <c r="T15" s="84"/>
      <c r="U15" s="84">
        <v>3000</v>
      </c>
      <c r="V15" s="84"/>
      <c r="W15" s="82"/>
      <c r="X15" s="82"/>
      <c r="Y15" s="82"/>
      <c r="Z15" s="79">
        <v>3.3819648000483791</v>
      </c>
      <c r="AA15" s="85" t="s">
        <v>157</v>
      </c>
      <c r="AB15" s="86" t="str">
        <f>TEXT(TblDataSecond[[#This Row],[מספר זהות/ID]],"000000000")</f>
        <v>000001234</v>
      </c>
      <c r="AC15" s="86" t="str">
        <f>File2Name&amp;"_F_"&amp;INT(TblDataSecond[[#This Row],[NumRows]]/CountMax)+1&amp;"_"&amp;TblDataSecond[[#This Row],[PassWord]]&amp;".pdf"</f>
        <v>DataSecond_F_1_000001234.pdf</v>
      </c>
      <c r="AD15" s="86" t="e" cm="1">
        <f t="array" aca="1" ref="AD15" ca="1">MID(CELL("filename"),1,FIND("[",CELL("filename"))-1)&amp;"OutFiles\"</f>
        <v>#N/A</v>
      </c>
      <c r="AE15" s="86">
        <f>COUNTIFS($A$2:A15,TblDataSecond[[#This Row],[מספר זהות/ID]])</f>
        <v>14</v>
      </c>
      <c r="AQ15" s="62"/>
      <c r="AR15" s="62"/>
      <c r="AS15" s="62"/>
    </row>
    <row r="16" spans="1:45" x14ac:dyDescent="0.3">
      <c r="A16" s="79">
        <v>1234</v>
      </c>
      <c r="B16" s="80" t="s">
        <v>155</v>
      </c>
      <c r="C16" s="79" t="s">
        <v>156</v>
      </c>
      <c r="D16" s="80" t="s">
        <v>180</v>
      </c>
      <c r="E16" s="80">
        <v>44351</v>
      </c>
      <c r="F16" s="79">
        <v>114</v>
      </c>
      <c r="G16" s="80">
        <v>42782</v>
      </c>
      <c r="H16" s="81">
        <v>64</v>
      </c>
      <c r="I16" s="81">
        <v>1</v>
      </c>
      <c r="J16" s="80">
        <v>42019</v>
      </c>
      <c r="K16" s="81">
        <v>7295</v>
      </c>
      <c r="L16" s="79" t="s">
        <v>181</v>
      </c>
      <c r="M16" s="81">
        <v>30</v>
      </c>
      <c r="N16" s="81">
        <v>6</v>
      </c>
      <c r="O16" s="82">
        <v>0.62</v>
      </c>
      <c r="P16" s="83">
        <v>1514</v>
      </c>
      <c r="Q16" s="82">
        <v>0.28000000000000003</v>
      </c>
      <c r="R16" s="83">
        <v>39</v>
      </c>
      <c r="S16" s="84">
        <v>949.59999999999991</v>
      </c>
      <c r="T16" s="84"/>
      <c r="U16" s="84">
        <v>3000</v>
      </c>
      <c r="V16" s="84"/>
      <c r="W16" s="82"/>
      <c r="X16" s="82"/>
      <c r="Y16" s="82"/>
      <c r="Z16" s="79">
        <v>3.3819648000483791</v>
      </c>
      <c r="AA16" s="85" t="s">
        <v>157</v>
      </c>
      <c r="AB16" s="86" t="str">
        <f>TEXT(TblDataSecond[[#This Row],[מספר זהות/ID]],"000000000")</f>
        <v>000001234</v>
      </c>
      <c r="AC16" s="86" t="str">
        <f>File2Name&amp;"_F_"&amp;INT(TblDataSecond[[#This Row],[NumRows]]/CountMax)+1&amp;"_"&amp;TblDataSecond[[#This Row],[PassWord]]&amp;".pdf"</f>
        <v>DataSecond_F_1_000001234.pdf</v>
      </c>
      <c r="AD16" s="86" t="e" cm="1">
        <f t="array" aca="1" ref="AD16" ca="1">MID(CELL("filename"),1,FIND("[",CELL("filename"))-1)&amp;"OutFiles\"</f>
        <v>#N/A</v>
      </c>
      <c r="AE16" s="86">
        <f>COUNTIFS($A$2:A16,TblDataSecond[[#This Row],[מספר זהות/ID]])</f>
        <v>15</v>
      </c>
      <c r="AQ16" s="62"/>
      <c r="AR16" s="62"/>
      <c r="AS16" s="62"/>
    </row>
    <row r="17" spans="1:45" x14ac:dyDescent="0.3">
      <c r="A17" s="79">
        <v>1234</v>
      </c>
      <c r="B17" s="80" t="s">
        <v>155</v>
      </c>
      <c r="C17" s="79" t="s">
        <v>156</v>
      </c>
      <c r="D17" s="80" t="s">
        <v>180</v>
      </c>
      <c r="E17" s="80">
        <v>44351</v>
      </c>
      <c r="F17" s="79">
        <v>115</v>
      </c>
      <c r="G17" s="80">
        <v>42782</v>
      </c>
      <c r="H17" s="81">
        <v>64</v>
      </c>
      <c r="I17" s="81">
        <v>1</v>
      </c>
      <c r="J17" s="80">
        <v>42020</v>
      </c>
      <c r="K17" s="81">
        <v>7359</v>
      </c>
      <c r="L17" s="79" t="s">
        <v>181</v>
      </c>
      <c r="M17" s="81">
        <v>30</v>
      </c>
      <c r="N17" s="81">
        <v>6</v>
      </c>
      <c r="O17" s="82">
        <v>0.62</v>
      </c>
      <c r="P17" s="83">
        <v>1515</v>
      </c>
      <c r="Q17" s="82">
        <v>0.28000000000000003</v>
      </c>
      <c r="R17" s="83">
        <v>40</v>
      </c>
      <c r="S17" s="84">
        <v>950.5</v>
      </c>
      <c r="T17" s="84"/>
      <c r="U17" s="84">
        <v>3000</v>
      </c>
      <c r="V17" s="84"/>
      <c r="W17" s="82"/>
      <c r="X17" s="82"/>
      <c r="Y17" s="82"/>
      <c r="Z17" s="79">
        <v>3.3819648000483791</v>
      </c>
      <c r="AA17" s="85" t="s">
        <v>157</v>
      </c>
      <c r="AB17" s="86" t="str">
        <f>TEXT(TblDataSecond[[#This Row],[מספר זהות/ID]],"000000000")</f>
        <v>000001234</v>
      </c>
      <c r="AC17" s="86" t="str">
        <f>File2Name&amp;"_F_"&amp;INT(TblDataSecond[[#This Row],[NumRows]]/CountMax)+1&amp;"_"&amp;TblDataSecond[[#This Row],[PassWord]]&amp;".pdf"</f>
        <v>DataSecond_F_1_000001234.pdf</v>
      </c>
      <c r="AD17" s="86" t="e" cm="1">
        <f t="array" aca="1" ref="AD17" ca="1">MID(CELL("filename"),1,FIND("[",CELL("filename"))-1)&amp;"OutFiles\"</f>
        <v>#N/A</v>
      </c>
      <c r="AE17" s="86">
        <f>COUNTIFS($A$2:A17,TblDataSecond[[#This Row],[מספר זהות/ID]])</f>
        <v>16</v>
      </c>
      <c r="AQ17" s="62"/>
      <c r="AR17" s="62"/>
      <c r="AS17" s="62"/>
    </row>
    <row r="18" spans="1:45" x14ac:dyDescent="0.3">
      <c r="A18" s="79">
        <v>1234</v>
      </c>
      <c r="B18" s="80" t="s">
        <v>155</v>
      </c>
      <c r="C18" s="79" t="s">
        <v>156</v>
      </c>
      <c r="D18" s="80" t="s">
        <v>180</v>
      </c>
      <c r="E18" s="80">
        <v>44351</v>
      </c>
      <c r="F18" s="79">
        <v>116</v>
      </c>
      <c r="G18" s="80">
        <v>42782</v>
      </c>
      <c r="H18" s="81">
        <v>64</v>
      </c>
      <c r="I18" s="81">
        <v>1</v>
      </c>
      <c r="J18" s="80">
        <v>42021</v>
      </c>
      <c r="K18" s="81">
        <v>7423</v>
      </c>
      <c r="L18" s="79" t="s">
        <v>181</v>
      </c>
      <c r="M18" s="81">
        <v>30</v>
      </c>
      <c r="N18" s="81">
        <v>6</v>
      </c>
      <c r="O18" s="82">
        <v>0.62</v>
      </c>
      <c r="P18" s="83">
        <v>1516</v>
      </c>
      <c r="Q18" s="82">
        <v>0.28000000000000003</v>
      </c>
      <c r="R18" s="83">
        <v>41</v>
      </c>
      <c r="S18" s="84">
        <v>951.4</v>
      </c>
      <c r="T18" s="84"/>
      <c r="U18" s="84">
        <v>3000</v>
      </c>
      <c r="V18" s="84"/>
      <c r="W18" s="82"/>
      <c r="X18" s="82"/>
      <c r="Y18" s="82"/>
      <c r="Z18" s="79">
        <v>3.3819648000483791</v>
      </c>
      <c r="AA18" s="85" t="s">
        <v>157</v>
      </c>
      <c r="AB18" s="86" t="str">
        <f>TEXT(TblDataSecond[[#This Row],[מספר זהות/ID]],"000000000")</f>
        <v>000001234</v>
      </c>
      <c r="AC18" s="86" t="str">
        <f>File2Name&amp;"_F_"&amp;INT(TblDataSecond[[#This Row],[NumRows]]/CountMax)+1&amp;"_"&amp;TblDataSecond[[#This Row],[PassWord]]&amp;".pdf"</f>
        <v>DataSecond_F_1_000001234.pdf</v>
      </c>
      <c r="AD18" s="86" t="e" cm="1">
        <f t="array" aca="1" ref="AD18" ca="1">MID(CELL("filename"),1,FIND("[",CELL("filename"))-1)&amp;"OutFiles\"</f>
        <v>#N/A</v>
      </c>
      <c r="AE18" s="86">
        <f>COUNTIFS($A$2:A18,TblDataSecond[[#This Row],[מספר זהות/ID]])</f>
        <v>17</v>
      </c>
      <c r="AQ18" s="62"/>
      <c r="AR18" s="62"/>
      <c r="AS18" s="62"/>
    </row>
    <row r="19" spans="1:45" x14ac:dyDescent="0.3">
      <c r="A19" s="79">
        <v>1234</v>
      </c>
      <c r="B19" s="80" t="s">
        <v>155</v>
      </c>
      <c r="C19" s="79" t="s">
        <v>156</v>
      </c>
      <c r="D19" s="80" t="s">
        <v>180</v>
      </c>
      <c r="E19" s="80">
        <v>44351</v>
      </c>
      <c r="F19" s="79">
        <v>117</v>
      </c>
      <c r="G19" s="80">
        <v>42782</v>
      </c>
      <c r="H19" s="81">
        <v>64</v>
      </c>
      <c r="I19" s="81">
        <v>1</v>
      </c>
      <c r="J19" s="80">
        <v>42022</v>
      </c>
      <c r="K19" s="81">
        <v>7487</v>
      </c>
      <c r="L19" s="79" t="s">
        <v>181</v>
      </c>
      <c r="M19" s="81">
        <v>30</v>
      </c>
      <c r="N19" s="81">
        <v>6</v>
      </c>
      <c r="O19" s="82">
        <v>0.62</v>
      </c>
      <c r="P19" s="83">
        <v>1517</v>
      </c>
      <c r="Q19" s="82">
        <v>0.28000000000000003</v>
      </c>
      <c r="R19" s="83">
        <v>42</v>
      </c>
      <c r="S19" s="84">
        <v>952.3</v>
      </c>
      <c r="T19" s="84">
        <v>22</v>
      </c>
      <c r="U19" s="84">
        <v>3000</v>
      </c>
      <c r="V19" s="84"/>
      <c r="W19" s="82"/>
      <c r="X19" s="82"/>
      <c r="Y19" s="82"/>
      <c r="Z19" s="79">
        <v>3.3819648000483791</v>
      </c>
      <c r="AA19" s="85" t="s">
        <v>157</v>
      </c>
      <c r="AB19" s="86" t="str">
        <f>TEXT(TblDataSecond[[#This Row],[מספר זהות/ID]],"000000000")</f>
        <v>000001234</v>
      </c>
      <c r="AC19" s="86" t="str">
        <f>File2Name&amp;"_F_"&amp;INT(TblDataSecond[[#This Row],[NumRows]]/CountMax)+1&amp;"_"&amp;TblDataSecond[[#This Row],[PassWord]]&amp;".pdf"</f>
        <v>DataSecond_F_1_000001234.pdf</v>
      </c>
      <c r="AD19" s="86" t="e" cm="1">
        <f t="array" aca="1" ref="AD19" ca="1">MID(CELL("filename"),1,FIND("[",CELL("filename"))-1)&amp;"OutFiles\"</f>
        <v>#N/A</v>
      </c>
      <c r="AE19" s="86">
        <f>COUNTIFS($A$2:A19,TblDataSecond[[#This Row],[מספר זהות/ID]])</f>
        <v>18</v>
      </c>
      <c r="AQ19" s="62"/>
      <c r="AR19" s="62"/>
      <c r="AS19" s="62"/>
    </row>
    <row r="20" spans="1:45" x14ac:dyDescent="0.3">
      <c r="A20" s="88">
        <v>12345</v>
      </c>
      <c r="B20" s="80" t="s">
        <v>158</v>
      </c>
      <c r="C20" s="79" t="s">
        <v>156</v>
      </c>
      <c r="D20" s="80" t="s">
        <v>180</v>
      </c>
      <c r="E20" s="80">
        <v>44351</v>
      </c>
      <c r="F20" s="79">
        <v>118</v>
      </c>
      <c r="G20" s="80">
        <v>42782</v>
      </c>
      <c r="H20" s="81">
        <v>64</v>
      </c>
      <c r="I20" s="81">
        <v>1</v>
      </c>
      <c r="J20" s="80">
        <v>42023</v>
      </c>
      <c r="K20" s="81">
        <v>7551</v>
      </c>
      <c r="L20" s="79" t="s">
        <v>181</v>
      </c>
      <c r="M20" s="81">
        <v>30</v>
      </c>
      <c r="N20" s="81">
        <v>6</v>
      </c>
      <c r="O20" s="82">
        <v>0.62</v>
      </c>
      <c r="P20" s="83">
        <v>1518</v>
      </c>
      <c r="Q20" s="82">
        <v>0.28000000000000003</v>
      </c>
      <c r="R20" s="83">
        <v>43</v>
      </c>
      <c r="S20" s="84">
        <v>953.19999999999993</v>
      </c>
      <c r="T20" s="84"/>
      <c r="U20" s="84">
        <v>3000</v>
      </c>
      <c r="V20" s="84"/>
      <c r="W20" s="82"/>
      <c r="X20" s="82"/>
      <c r="Y20" s="82"/>
      <c r="Z20" s="79">
        <v>3.3819648000483791</v>
      </c>
      <c r="AA20" s="85" t="s">
        <v>159</v>
      </c>
      <c r="AB20" s="86" t="str">
        <f>TEXT(TblDataSecond[[#This Row],[מספר זהות/ID]],"000000000")</f>
        <v>000012345</v>
      </c>
      <c r="AC20" s="86" t="str">
        <f>File2Name&amp;"_F_"&amp;INT(TblDataSecond[[#This Row],[NumRows]]/CountMax)+1&amp;"_"&amp;TblDataSecond[[#This Row],[PassWord]]&amp;".pdf"</f>
        <v>DataSecond_F_1_000012345.pdf</v>
      </c>
      <c r="AD20" s="86" t="e" cm="1">
        <f t="array" aca="1" ref="AD20" ca="1">MID(CELL("filename"),1,FIND("[",CELL("filename"))-1)&amp;"OutFiles\"</f>
        <v>#N/A</v>
      </c>
      <c r="AE20" s="86">
        <f>COUNTIFS($A$2:A20,TblDataSecond[[#This Row],[מספר זהות/ID]])</f>
        <v>1</v>
      </c>
      <c r="AQ20" s="62"/>
      <c r="AR20" s="62"/>
      <c r="AS20" s="62"/>
    </row>
    <row r="21" spans="1:45" x14ac:dyDescent="0.3">
      <c r="A21" s="88">
        <v>12345</v>
      </c>
      <c r="B21" s="80" t="s">
        <v>158</v>
      </c>
      <c r="C21" s="79" t="s">
        <v>156</v>
      </c>
      <c r="D21" s="80" t="s">
        <v>180</v>
      </c>
      <c r="E21" s="80">
        <v>44351</v>
      </c>
      <c r="F21" s="79">
        <v>119</v>
      </c>
      <c r="G21" s="80">
        <v>42782</v>
      </c>
      <c r="H21" s="81">
        <v>64</v>
      </c>
      <c r="I21" s="81">
        <v>1</v>
      </c>
      <c r="J21" s="80">
        <v>42024</v>
      </c>
      <c r="K21" s="81">
        <v>7615</v>
      </c>
      <c r="L21" s="79" t="s">
        <v>181</v>
      </c>
      <c r="M21" s="81">
        <v>30</v>
      </c>
      <c r="N21" s="81">
        <v>6</v>
      </c>
      <c r="O21" s="82">
        <v>0.62</v>
      </c>
      <c r="P21" s="83">
        <v>1519</v>
      </c>
      <c r="Q21" s="82">
        <v>0.28000000000000003</v>
      </c>
      <c r="R21" s="83">
        <v>44</v>
      </c>
      <c r="S21" s="84">
        <v>954.1</v>
      </c>
      <c r="T21" s="84"/>
      <c r="U21" s="84">
        <v>3000</v>
      </c>
      <c r="V21" s="84"/>
      <c r="W21" s="82"/>
      <c r="X21" s="82"/>
      <c r="Y21" s="82"/>
      <c r="Z21" s="79">
        <v>3.3819648000483791</v>
      </c>
      <c r="AA21" s="85" t="s">
        <v>159</v>
      </c>
      <c r="AB21" s="86" t="str">
        <f>TEXT(TblDataSecond[[#This Row],[מספר זהות/ID]],"000000000")</f>
        <v>000012345</v>
      </c>
      <c r="AC21" s="86" t="str">
        <f>File2Name&amp;"_F_"&amp;INT(TblDataSecond[[#This Row],[NumRows]]/CountMax)+1&amp;"_"&amp;TblDataSecond[[#This Row],[PassWord]]&amp;".pdf"</f>
        <v>DataSecond_F_1_000012345.pdf</v>
      </c>
      <c r="AD21" s="86" t="e" cm="1">
        <f t="array" aca="1" ref="AD21" ca="1">MID(CELL("filename"),1,FIND("[",CELL("filename"))-1)&amp;"OutFiles\"</f>
        <v>#N/A</v>
      </c>
      <c r="AE21" s="86">
        <f>COUNTIFS($A$2:A21,TblDataSecond[[#This Row],[מספר זהות/ID]])</f>
        <v>2</v>
      </c>
      <c r="AQ21" s="62"/>
      <c r="AR21" s="62"/>
      <c r="AS21" s="62"/>
    </row>
    <row r="22" spans="1:45" x14ac:dyDescent="0.3">
      <c r="A22" s="88">
        <v>12345</v>
      </c>
      <c r="B22" s="80" t="s">
        <v>158</v>
      </c>
      <c r="C22" s="79" t="s">
        <v>156</v>
      </c>
      <c r="D22" s="80" t="s">
        <v>180</v>
      </c>
      <c r="E22" s="80">
        <v>44351</v>
      </c>
      <c r="F22" s="79">
        <v>120</v>
      </c>
      <c r="G22" s="80">
        <v>42782</v>
      </c>
      <c r="H22" s="81">
        <v>64</v>
      </c>
      <c r="I22" s="81">
        <v>1</v>
      </c>
      <c r="J22" s="80">
        <v>42025</v>
      </c>
      <c r="K22" s="81">
        <v>7679</v>
      </c>
      <c r="L22" s="79" t="s">
        <v>181</v>
      </c>
      <c r="M22" s="81">
        <v>30</v>
      </c>
      <c r="N22" s="81">
        <v>6</v>
      </c>
      <c r="O22" s="82">
        <v>0.62</v>
      </c>
      <c r="P22" s="83">
        <v>1520</v>
      </c>
      <c r="Q22" s="82">
        <v>0.28000000000000003</v>
      </c>
      <c r="R22" s="83">
        <v>45</v>
      </c>
      <c r="S22" s="84">
        <v>955</v>
      </c>
      <c r="T22" s="84"/>
      <c r="U22" s="84">
        <v>3000</v>
      </c>
      <c r="V22" s="84"/>
      <c r="W22" s="82"/>
      <c r="X22" s="82"/>
      <c r="Y22" s="82"/>
      <c r="Z22" s="79">
        <v>3.3819648000483791</v>
      </c>
      <c r="AA22" s="85" t="s">
        <v>159</v>
      </c>
      <c r="AB22" s="86" t="str">
        <f>TEXT(TblDataSecond[[#This Row],[מספר זהות/ID]],"000000000")</f>
        <v>000012345</v>
      </c>
      <c r="AC22" s="86" t="str">
        <f>File2Name&amp;"_F_"&amp;INT(TblDataSecond[[#This Row],[NumRows]]/CountMax)+1&amp;"_"&amp;TblDataSecond[[#This Row],[PassWord]]&amp;".pdf"</f>
        <v>DataSecond_F_1_000012345.pdf</v>
      </c>
      <c r="AD22" s="86" t="e" cm="1">
        <f t="array" aca="1" ref="AD22" ca="1">MID(CELL("filename"),1,FIND("[",CELL("filename"))-1)&amp;"OutFiles\"</f>
        <v>#N/A</v>
      </c>
      <c r="AE22" s="86">
        <f>COUNTIFS($A$2:A22,TblDataSecond[[#This Row],[מספר זהות/ID]])</f>
        <v>3</v>
      </c>
      <c r="AQ22" s="62"/>
      <c r="AR22" s="62"/>
      <c r="AS22" s="62"/>
    </row>
    <row r="23" spans="1:45" x14ac:dyDescent="0.3">
      <c r="A23" s="88">
        <v>12345</v>
      </c>
      <c r="B23" s="80" t="s">
        <v>158</v>
      </c>
      <c r="C23" s="79" t="s">
        <v>156</v>
      </c>
      <c r="D23" s="80" t="s">
        <v>180</v>
      </c>
      <c r="E23" s="80">
        <v>44351</v>
      </c>
      <c r="F23" s="79">
        <v>121</v>
      </c>
      <c r="G23" s="80">
        <v>42782</v>
      </c>
      <c r="H23" s="81">
        <v>64</v>
      </c>
      <c r="I23" s="81">
        <v>1</v>
      </c>
      <c r="J23" s="80">
        <v>42026</v>
      </c>
      <c r="K23" s="81">
        <v>7743</v>
      </c>
      <c r="L23" s="79" t="s">
        <v>181</v>
      </c>
      <c r="M23" s="81">
        <v>30</v>
      </c>
      <c r="N23" s="81">
        <v>6</v>
      </c>
      <c r="O23" s="82">
        <v>0.62</v>
      </c>
      <c r="P23" s="83">
        <v>1521</v>
      </c>
      <c r="Q23" s="82">
        <v>0.28000000000000003</v>
      </c>
      <c r="R23" s="83">
        <v>46</v>
      </c>
      <c r="S23" s="84">
        <v>955.9</v>
      </c>
      <c r="T23" s="84"/>
      <c r="U23" s="84">
        <v>3000</v>
      </c>
      <c r="V23" s="84"/>
      <c r="W23" s="82"/>
      <c r="X23" s="82"/>
      <c r="Y23" s="82"/>
      <c r="Z23" s="79">
        <v>3.3819648000483791</v>
      </c>
      <c r="AA23" s="85" t="s">
        <v>159</v>
      </c>
      <c r="AB23" s="86" t="str">
        <f>TEXT(TblDataSecond[[#This Row],[מספר זהות/ID]],"000000000")</f>
        <v>000012345</v>
      </c>
      <c r="AC23" s="86" t="str">
        <f>File2Name&amp;"_F_"&amp;INT(TblDataSecond[[#This Row],[NumRows]]/CountMax)+1&amp;"_"&amp;TblDataSecond[[#This Row],[PassWord]]&amp;".pdf"</f>
        <v>DataSecond_F_1_000012345.pdf</v>
      </c>
      <c r="AD23" s="86" t="e" cm="1">
        <f t="array" aca="1" ref="AD23" ca="1">MID(CELL("filename"),1,FIND("[",CELL("filename"))-1)&amp;"OutFiles\"</f>
        <v>#N/A</v>
      </c>
      <c r="AE23" s="86">
        <f>COUNTIFS($A$2:A23,TblDataSecond[[#This Row],[מספר זהות/ID]])</f>
        <v>4</v>
      </c>
      <c r="AQ23" s="62"/>
      <c r="AR23" s="62"/>
      <c r="AS23" s="62"/>
    </row>
    <row r="24" spans="1:45" x14ac:dyDescent="0.3">
      <c r="A24" s="88">
        <v>12345</v>
      </c>
      <c r="B24" s="80" t="s">
        <v>158</v>
      </c>
      <c r="C24" s="79" t="s">
        <v>156</v>
      </c>
      <c r="D24" s="80" t="s">
        <v>180</v>
      </c>
      <c r="E24" s="80">
        <v>44351</v>
      </c>
      <c r="F24" s="79">
        <v>122</v>
      </c>
      <c r="G24" s="80">
        <v>42782</v>
      </c>
      <c r="H24" s="81">
        <v>64</v>
      </c>
      <c r="I24" s="81">
        <v>1</v>
      </c>
      <c r="J24" s="80">
        <v>42027</v>
      </c>
      <c r="K24" s="81">
        <v>7807</v>
      </c>
      <c r="L24" s="79" t="s">
        <v>181</v>
      </c>
      <c r="M24" s="81">
        <v>30</v>
      </c>
      <c r="N24" s="81">
        <v>6</v>
      </c>
      <c r="O24" s="82">
        <v>0.62</v>
      </c>
      <c r="P24" s="83">
        <v>1522</v>
      </c>
      <c r="Q24" s="82">
        <v>0.28000000000000003</v>
      </c>
      <c r="R24" s="83">
        <v>47</v>
      </c>
      <c r="S24" s="84">
        <v>956.8</v>
      </c>
      <c r="T24" s="84"/>
      <c r="U24" s="84">
        <v>3000</v>
      </c>
      <c r="V24" s="84"/>
      <c r="W24" s="82"/>
      <c r="X24" s="82"/>
      <c r="Y24" s="82"/>
      <c r="Z24" s="79">
        <v>3.3819648000483791</v>
      </c>
      <c r="AA24" s="85" t="s">
        <v>159</v>
      </c>
      <c r="AB24" s="86" t="str">
        <f>TEXT(TblDataSecond[[#This Row],[מספר זהות/ID]],"000000000")</f>
        <v>000012345</v>
      </c>
      <c r="AC24" s="86" t="str">
        <f>File2Name&amp;"_F_"&amp;INT(TblDataSecond[[#This Row],[NumRows]]/CountMax)+1&amp;"_"&amp;TblDataSecond[[#This Row],[PassWord]]&amp;".pdf"</f>
        <v>DataSecond_F_1_000012345.pdf</v>
      </c>
      <c r="AD24" s="86" t="e" cm="1">
        <f t="array" aca="1" ref="AD24" ca="1">MID(CELL("filename"),1,FIND("[",CELL("filename"))-1)&amp;"OutFiles\"</f>
        <v>#N/A</v>
      </c>
      <c r="AE24" s="86">
        <f>COUNTIFS($A$2:A24,TblDataSecond[[#This Row],[מספר זהות/ID]])</f>
        <v>5</v>
      </c>
      <c r="AQ24" s="62"/>
      <c r="AR24" s="62"/>
      <c r="AS24" s="62"/>
    </row>
    <row r="25" spans="1:45" x14ac:dyDescent="0.3">
      <c r="A25" s="88">
        <v>12345</v>
      </c>
      <c r="B25" s="80" t="s">
        <v>158</v>
      </c>
      <c r="C25" s="79" t="s">
        <v>156</v>
      </c>
      <c r="D25" s="80" t="s">
        <v>180</v>
      </c>
      <c r="E25" s="80">
        <v>44351</v>
      </c>
      <c r="F25" s="79">
        <v>123</v>
      </c>
      <c r="G25" s="80">
        <v>42782</v>
      </c>
      <c r="H25" s="81">
        <v>64</v>
      </c>
      <c r="I25" s="81">
        <v>1</v>
      </c>
      <c r="J25" s="80">
        <v>42028</v>
      </c>
      <c r="K25" s="81">
        <v>7871</v>
      </c>
      <c r="L25" s="79" t="s">
        <v>181</v>
      </c>
      <c r="M25" s="81">
        <v>30</v>
      </c>
      <c r="N25" s="81">
        <v>6</v>
      </c>
      <c r="O25" s="82">
        <v>0.62</v>
      </c>
      <c r="P25" s="83">
        <v>1523</v>
      </c>
      <c r="Q25" s="82">
        <v>0.28000000000000003</v>
      </c>
      <c r="R25" s="83">
        <v>48</v>
      </c>
      <c r="S25" s="84">
        <v>957.7</v>
      </c>
      <c r="T25" s="84"/>
      <c r="U25" s="84">
        <v>3000</v>
      </c>
      <c r="V25" s="84"/>
      <c r="W25" s="82"/>
      <c r="X25" s="82"/>
      <c r="Y25" s="82"/>
      <c r="Z25" s="79">
        <v>3.3819648000483791</v>
      </c>
      <c r="AA25" s="85" t="s">
        <v>159</v>
      </c>
      <c r="AB25" s="86" t="str">
        <f>TEXT(TblDataSecond[[#This Row],[מספר זהות/ID]],"000000000")</f>
        <v>000012345</v>
      </c>
      <c r="AC25" s="86" t="str">
        <f>File2Name&amp;"_F_"&amp;INT(TblDataSecond[[#This Row],[NumRows]]/CountMax)+1&amp;"_"&amp;TblDataSecond[[#This Row],[PassWord]]&amp;".pdf"</f>
        <v>DataSecond_F_1_000012345.pdf</v>
      </c>
      <c r="AD25" s="86" t="e" cm="1">
        <f t="array" aca="1" ref="AD25" ca="1">MID(CELL("filename"),1,FIND("[",CELL("filename"))-1)&amp;"OutFiles\"</f>
        <v>#N/A</v>
      </c>
      <c r="AE25" s="86">
        <f>COUNTIFS($A$2:A25,TblDataSecond[[#This Row],[מספר זהות/ID]])</f>
        <v>6</v>
      </c>
      <c r="AQ25" s="62"/>
      <c r="AR25" s="62"/>
      <c r="AS25" s="62"/>
    </row>
    <row r="26" spans="1:45" x14ac:dyDescent="0.3">
      <c r="A26" s="88">
        <v>12345</v>
      </c>
      <c r="B26" s="80" t="s">
        <v>158</v>
      </c>
      <c r="C26" s="79" t="s">
        <v>156</v>
      </c>
      <c r="D26" s="80" t="s">
        <v>180</v>
      </c>
      <c r="E26" s="80">
        <v>44351</v>
      </c>
      <c r="F26" s="79">
        <v>124</v>
      </c>
      <c r="G26" s="80">
        <v>42782</v>
      </c>
      <c r="H26" s="81">
        <v>64</v>
      </c>
      <c r="I26" s="81">
        <v>1</v>
      </c>
      <c r="J26" s="80">
        <v>42029</v>
      </c>
      <c r="K26" s="81">
        <v>7935</v>
      </c>
      <c r="L26" s="79" t="s">
        <v>181</v>
      </c>
      <c r="M26" s="81">
        <v>30</v>
      </c>
      <c r="N26" s="81">
        <v>6</v>
      </c>
      <c r="O26" s="82">
        <v>0.62</v>
      </c>
      <c r="P26" s="83">
        <v>1524</v>
      </c>
      <c r="Q26" s="82">
        <v>0.28000000000000003</v>
      </c>
      <c r="R26" s="83">
        <v>49</v>
      </c>
      <c r="S26" s="84">
        <v>958.6</v>
      </c>
      <c r="T26" s="84"/>
      <c r="U26" s="84">
        <v>3000</v>
      </c>
      <c r="V26" s="84"/>
      <c r="W26" s="82"/>
      <c r="X26" s="82"/>
      <c r="Y26" s="82"/>
      <c r="Z26" s="79">
        <v>3.4220000000000002</v>
      </c>
      <c r="AA26" s="85" t="s">
        <v>159</v>
      </c>
      <c r="AB26" s="86" t="str">
        <f>TEXT(TblDataSecond[[#This Row],[מספר זהות/ID]],"000000000")</f>
        <v>000012345</v>
      </c>
      <c r="AC26" s="86" t="str">
        <f>File2Name&amp;"_F_"&amp;INT(TblDataSecond[[#This Row],[NumRows]]/CountMax)+1&amp;"_"&amp;TblDataSecond[[#This Row],[PassWord]]&amp;".pdf"</f>
        <v>DataSecond_F_1_000012345.pdf</v>
      </c>
      <c r="AD26" s="86" t="e" cm="1">
        <f t="array" aca="1" ref="AD26" ca="1">MID(CELL("filename"),1,FIND("[",CELL("filename"))-1)&amp;"OutFiles\"</f>
        <v>#N/A</v>
      </c>
      <c r="AE26" s="86">
        <f>COUNTIFS($A$2:A26,TblDataSecond[[#This Row],[מספר זהות/ID]])</f>
        <v>7</v>
      </c>
      <c r="AQ26" s="62"/>
      <c r="AR26" s="62"/>
      <c r="AS26" s="62"/>
    </row>
    <row r="27" spans="1:45" x14ac:dyDescent="0.3">
      <c r="A27" s="88">
        <v>12345</v>
      </c>
      <c r="B27" s="80" t="s">
        <v>158</v>
      </c>
      <c r="C27" s="79" t="s">
        <v>156</v>
      </c>
      <c r="D27" s="80" t="s">
        <v>180</v>
      </c>
      <c r="E27" s="80">
        <v>44351</v>
      </c>
      <c r="F27" s="79">
        <v>125</v>
      </c>
      <c r="G27" s="80">
        <v>43082</v>
      </c>
      <c r="H27" s="81">
        <v>64</v>
      </c>
      <c r="I27" s="81">
        <v>1</v>
      </c>
      <c r="J27" s="80">
        <v>42030</v>
      </c>
      <c r="K27" s="81">
        <v>7999</v>
      </c>
      <c r="L27" s="79" t="s">
        <v>181</v>
      </c>
      <c r="M27" s="81">
        <v>30</v>
      </c>
      <c r="N27" s="81">
        <v>6</v>
      </c>
      <c r="O27" s="82">
        <v>0.62</v>
      </c>
      <c r="P27" s="83">
        <v>1525</v>
      </c>
      <c r="Q27" s="82">
        <v>0.28000000000000003</v>
      </c>
      <c r="R27" s="83">
        <v>50</v>
      </c>
      <c r="S27" s="84">
        <v>959.5</v>
      </c>
      <c r="T27" s="84"/>
      <c r="U27" s="84">
        <v>3000</v>
      </c>
      <c r="V27" s="84"/>
      <c r="W27" s="82"/>
      <c r="X27" s="82"/>
      <c r="Y27" s="82"/>
      <c r="Z27" s="79">
        <v>3.4312758039810274</v>
      </c>
      <c r="AA27" s="85" t="s">
        <v>159</v>
      </c>
      <c r="AB27" s="86" t="str">
        <f>TEXT(TblDataSecond[[#This Row],[מספר זהות/ID]],"000000000")</f>
        <v>000012345</v>
      </c>
      <c r="AC27" s="86" t="str">
        <f>File2Name&amp;"_F_"&amp;INT(TblDataSecond[[#This Row],[NumRows]]/CountMax)+1&amp;"_"&amp;TblDataSecond[[#This Row],[PassWord]]&amp;".pdf"</f>
        <v>DataSecond_F_1_000012345.pdf</v>
      </c>
      <c r="AD27" s="86" t="e" cm="1">
        <f t="array" aca="1" ref="AD27" ca="1">MID(CELL("filename"),1,FIND("[",CELL("filename"))-1)&amp;"OutFiles\"</f>
        <v>#N/A</v>
      </c>
      <c r="AE27" s="86">
        <f>COUNTIFS($A$2:A27,TblDataSecond[[#This Row],[מספר זהות/ID]])</f>
        <v>8</v>
      </c>
      <c r="AQ27" s="62"/>
      <c r="AR27" s="62"/>
      <c r="AS27" s="62"/>
    </row>
    <row r="28" spans="1:45" x14ac:dyDescent="0.3">
      <c r="A28" s="88">
        <v>12345</v>
      </c>
      <c r="B28" s="80" t="s">
        <v>158</v>
      </c>
      <c r="C28" s="79" t="s">
        <v>156</v>
      </c>
      <c r="D28" s="80" t="s">
        <v>180</v>
      </c>
      <c r="E28" s="80">
        <v>44351</v>
      </c>
      <c r="F28" s="79">
        <v>126</v>
      </c>
      <c r="G28" s="80">
        <v>43082</v>
      </c>
      <c r="H28" s="81">
        <v>64</v>
      </c>
      <c r="I28" s="81">
        <v>1</v>
      </c>
      <c r="J28" s="80">
        <v>42031</v>
      </c>
      <c r="K28" s="81">
        <v>8063</v>
      </c>
      <c r="L28" s="79" t="s">
        <v>181</v>
      </c>
      <c r="M28" s="81">
        <v>30</v>
      </c>
      <c r="N28" s="81">
        <v>6</v>
      </c>
      <c r="O28" s="82">
        <v>0.62</v>
      </c>
      <c r="P28" s="83">
        <v>1526</v>
      </c>
      <c r="Q28" s="82">
        <v>0.28000000000000003</v>
      </c>
      <c r="R28" s="83">
        <v>51</v>
      </c>
      <c r="S28" s="84">
        <v>960.4</v>
      </c>
      <c r="T28" s="84"/>
      <c r="U28" s="84">
        <v>3000</v>
      </c>
      <c r="V28" s="84"/>
      <c r="W28" s="82"/>
      <c r="X28" s="82"/>
      <c r="Y28" s="82"/>
      <c r="Z28" s="79">
        <v>3.4312758039810274</v>
      </c>
      <c r="AA28" s="85" t="s">
        <v>159</v>
      </c>
      <c r="AB28" s="86" t="str">
        <f>TEXT(TblDataSecond[[#This Row],[מספר זהות/ID]],"000000000")</f>
        <v>000012345</v>
      </c>
      <c r="AC28" s="86" t="str">
        <f>File2Name&amp;"_F_"&amp;INT(TblDataSecond[[#This Row],[NumRows]]/CountMax)+1&amp;"_"&amp;TblDataSecond[[#This Row],[PassWord]]&amp;".pdf"</f>
        <v>DataSecond_F_1_000012345.pdf</v>
      </c>
      <c r="AD28" s="86" t="e" cm="1">
        <f t="array" aca="1" ref="AD28" ca="1">MID(CELL("filename"),1,FIND("[",CELL("filename"))-1)&amp;"OutFiles\"</f>
        <v>#N/A</v>
      </c>
      <c r="AE28" s="86">
        <f>COUNTIFS($A$2:A28,TblDataSecond[[#This Row],[מספר זהות/ID]])</f>
        <v>9</v>
      </c>
      <c r="AQ28" s="62"/>
      <c r="AR28" s="62"/>
      <c r="AS28" s="62"/>
    </row>
    <row r="29" spans="1:45" x14ac:dyDescent="0.3">
      <c r="A29" s="88">
        <v>12345</v>
      </c>
      <c r="B29" s="80" t="s">
        <v>158</v>
      </c>
      <c r="C29" s="79" t="s">
        <v>156</v>
      </c>
      <c r="D29" s="80" t="s">
        <v>180</v>
      </c>
      <c r="E29" s="80">
        <v>44351</v>
      </c>
      <c r="F29" s="79">
        <v>127</v>
      </c>
      <c r="G29" s="80">
        <v>43082</v>
      </c>
      <c r="H29" s="81">
        <v>64</v>
      </c>
      <c r="I29" s="81">
        <v>1</v>
      </c>
      <c r="J29" s="80">
        <v>42032</v>
      </c>
      <c r="K29" s="81">
        <v>8127</v>
      </c>
      <c r="L29" s="79" t="s">
        <v>181</v>
      </c>
      <c r="M29" s="81">
        <v>30</v>
      </c>
      <c r="N29" s="81">
        <v>6</v>
      </c>
      <c r="O29" s="82">
        <v>0.62</v>
      </c>
      <c r="P29" s="83">
        <v>1527</v>
      </c>
      <c r="Q29" s="82">
        <v>0.28000000000000003</v>
      </c>
      <c r="R29" s="83">
        <v>52</v>
      </c>
      <c r="S29" s="84">
        <v>961.3</v>
      </c>
      <c r="T29" s="84"/>
      <c r="U29" s="84">
        <v>3000</v>
      </c>
      <c r="V29" s="84"/>
      <c r="W29" s="82"/>
      <c r="X29" s="82"/>
      <c r="Y29" s="82"/>
      <c r="Z29" s="79">
        <v>3.4312758039810274</v>
      </c>
      <c r="AA29" s="85" t="s">
        <v>159</v>
      </c>
      <c r="AB29" s="86" t="str">
        <f>TEXT(TblDataSecond[[#This Row],[מספר זהות/ID]],"000000000")</f>
        <v>000012345</v>
      </c>
      <c r="AC29" s="86" t="str">
        <f>File2Name&amp;"_F_"&amp;INT(TblDataSecond[[#This Row],[NumRows]]/CountMax)+1&amp;"_"&amp;TblDataSecond[[#This Row],[PassWord]]&amp;".pdf"</f>
        <v>DataSecond_F_1_000012345.pdf</v>
      </c>
      <c r="AD29" s="86" t="e" cm="1">
        <f t="array" aca="1" ref="AD29" ca="1">MID(CELL("filename"),1,FIND("[",CELL("filename"))-1)&amp;"OutFiles\"</f>
        <v>#N/A</v>
      </c>
      <c r="AE29" s="86">
        <f>COUNTIFS($A$2:A29,TblDataSecond[[#This Row],[מספר זהות/ID]])</f>
        <v>10</v>
      </c>
      <c r="AQ29" s="62"/>
      <c r="AR29" s="62"/>
      <c r="AS29" s="62"/>
    </row>
    <row r="30" spans="1:45" x14ac:dyDescent="0.3">
      <c r="A30" s="88">
        <v>12345</v>
      </c>
      <c r="B30" s="80" t="s">
        <v>158</v>
      </c>
      <c r="C30" s="79" t="s">
        <v>156</v>
      </c>
      <c r="D30" s="80" t="s">
        <v>180</v>
      </c>
      <c r="E30" s="80">
        <v>44351</v>
      </c>
      <c r="F30" s="79">
        <v>128</v>
      </c>
      <c r="G30" s="80">
        <v>43082</v>
      </c>
      <c r="H30" s="81">
        <v>64</v>
      </c>
      <c r="I30" s="81">
        <v>1</v>
      </c>
      <c r="J30" s="80">
        <v>42033</v>
      </c>
      <c r="K30" s="81">
        <v>8191</v>
      </c>
      <c r="L30" s="79" t="s">
        <v>181</v>
      </c>
      <c r="M30" s="81">
        <v>30</v>
      </c>
      <c r="N30" s="81">
        <v>6</v>
      </c>
      <c r="O30" s="82">
        <v>0.62</v>
      </c>
      <c r="P30" s="83">
        <v>1528</v>
      </c>
      <c r="Q30" s="82">
        <v>0.28000000000000003</v>
      </c>
      <c r="R30" s="83">
        <v>53</v>
      </c>
      <c r="S30" s="84">
        <v>962.2</v>
      </c>
      <c r="T30" s="84"/>
      <c r="U30" s="84">
        <v>3000</v>
      </c>
      <c r="V30" s="84"/>
      <c r="W30" s="82"/>
      <c r="X30" s="82"/>
      <c r="Y30" s="82"/>
      <c r="Z30" s="79">
        <v>3.4312758039810274</v>
      </c>
      <c r="AA30" s="85" t="s">
        <v>159</v>
      </c>
      <c r="AB30" s="86" t="str">
        <f>TEXT(TblDataSecond[[#This Row],[מספר זהות/ID]],"000000000")</f>
        <v>000012345</v>
      </c>
      <c r="AC30" s="86" t="str">
        <f>File2Name&amp;"_F_"&amp;INT(TblDataSecond[[#This Row],[NumRows]]/CountMax)+1&amp;"_"&amp;TblDataSecond[[#This Row],[PassWord]]&amp;".pdf"</f>
        <v>DataSecond_F_1_000012345.pdf</v>
      </c>
      <c r="AD30" s="86" t="e" cm="1">
        <f t="array" aca="1" ref="AD30" ca="1">MID(CELL("filename"),1,FIND("[",CELL("filename"))-1)&amp;"OutFiles\"</f>
        <v>#N/A</v>
      </c>
      <c r="AE30" s="86">
        <f>COUNTIFS($A$2:A30,TblDataSecond[[#This Row],[מספר זהות/ID]])</f>
        <v>11</v>
      </c>
      <c r="AQ30" s="62"/>
      <c r="AR30" s="62"/>
      <c r="AS30" s="62"/>
    </row>
    <row r="31" spans="1:45" x14ac:dyDescent="0.3">
      <c r="A31" s="88">
        <v>12345</v>
      </c>
      <c r="B31" s="80" t="s">
        <v>158</v>
      </c>
      <c r="C31" s="79" t="s">
        <v>156</v>
      </c>
      <c r="D31" s="80" t="s">
        <v>180</v>
      </c>
      <c r="E31" s="80">
        <v>44351</v>
      </c>
      <c r="F31" s="79">
        <v>129</v>
      </c>
      <c r="G31" s="80">
        <v>43082</v>
      </c>
      <c r="H31" s="81">
        <v>64</v>
      </c>
      <c r="I31" s="81">
        <v>1</v>
      </c>
      <c r="J31" s="80">
        <v>42034</v>
      </c>
      <c r="K31" s="81">
        <v>8255</v>
      </c>
      <c r="L31" s="79" t="s">
        <v>181</v>
      </c>
      <c r="M31" s="81">
        <v>30</v>
      </c>
      <c r="N31" s="81">
        <v>6</v>
      </c>
      <c r="O31" s="82">
        <v>0.62</v>
      </c>
      <c r="P31" s="83">
        <v>1529</v>
      </c>
      <c r="Q31" s="82">
        <v>0.28000000000000003</v>
      </c>
      <c r="R31" s="83">
        <v>54</v>
      </c>
      <c r="S31" s="84">
        <v>963.1</v>
      </c>
      <c r="T31" s="84"/>
      <c r="U31" s="84">
        <v>3000</v>
      </c>
      <c r="V31" s="84"/>
      <c r="W31" s="82"/>
      <c r="X31" s="82"/>
      <c r="Y31" s="82"/>
      <c r="Z31" s="79">
        <v>3.3998070490753061</v>
      </c>
      <c r="AA31" s="85" t="s">
        <v>159</v>
      </c>
      <c r="AB31" s="86" t="str">
        <f>TEXT(TblDataSecond[[#This Row],[מספר זהות/ID]],"000000000")</f>
        <v>000012345</v>
      </c>
      <c r="AC31" s="86" t="str">
        <f>File2Name&amp;"_F_"&amp;INT(TblDataSecond[[#This Row],[NumRows]]/CountMax)+1&amp;"_"&amp;TblDataSecond[[#This Row],[PassWord]]&amp;".pdf"</f>
        <v>DataSecond_F_1_000012345.pdf</v>
      </c>
      <c r="AD31" s="86" t="e" cm="1">
        <f t="array" aca="1" ref="AD31" ca="1">MID(CELL("filename"),1,FIND("[",CELL("filename"))-1)&amp;"OutFiles\"</f>
        <v>#N/A</v>
      </c>
      <c r="AE31" s="86">
        <f>COUNTIFS($A$2:A31,TblDataSecond[[#This Row],[מספר זהות/ID]])</f>
        <v>12</v>
      </c>
      <c r="AQ31" s="62"/>
      <c r="AR31" s="62"/>
      <c r="AS31" s="62"/>
    </row>
    <row r="32" spans="1:45" x14ac:dyDescent="0.3">
      <c r="A32" s="88">
        <v>12345</v>
      </c>
      <c r="B32" s="80" t="s">
        <v>158</v>
      </c>
      <c r="C32" s="79" t="s">
        <v>156</v>
      </c>
      <c r="D32" s="80" t="s">
        <v>180</v>
      </c>
      <c r="E32" s="80">
        <v>44351</v>
      </c>
      <c r="F32" s="79">
        <v>130</v>
      </c>
      <c r="G32" s="80">
        <v>43082</v>
      </c>
      <c r="H32" s="81">
        <v>64</v>
      </c>
      <c r="I32" s="81">
        <v>1</v>
      </c>
      <c r="J32" s="80">
        <v>42035</v>
      </c>
      <c r="K32" s="81">
        <v>8319</v>
      </c>
      <c r="L32" s="79" t="s">
        <v>181</v>
      </c>
      <c r="M32" s="81">
        <v>30</v>
      </c>
      <c r="N32" s="81">
        <v>6</v>
      </c>
      <c r="O32" s="82">
        <v>0.62</v>
      </c>
      <c r="P32" s="83">
        <v>1530</v>
      </c>
      <c r="Q32" s="82">
        <v>0.28000000000000003</v>
      </c>
      <c r="R32" s="83">
        <v>55</v>
      </c>
      <c r="S32" s="84">
        <v>964</v>
      </c>
      <c r="T32" s="84"/>
      <c r="U32" s="84">
        <v>3000</v>
      </c>
      <c r="V32" s="84"/>
      <c r="W32" s="82"/>
      <c r="X32" s="82"/>
      <c r="Y32" s="82"/>
      <c r="Z32" s="79">
        <v>3.3998070490753061</v>
      </c>
      <c r="AA32" s="85" t="s">
        <v>159</v>
      </c>
      <c r="AB32" s="86" t="str">
        <f>TEXT(TblDataSecond[[#This Row],[מספר זהות/ID]],"000000000")</f>
        <v>000012345</v>
      </c>
      <c r="AC32" s="86" t="str">
        <f>File2Name&amp;"_F_"&amp;INT(TblDataSecond[[#This Row],[NumRows]]/CountMax)+1&amp;"_"&amp;TblDataSecond[[#This Row],[PassWord]]&amp;".pdf"</f>
        <v>DataSecond_F_1_000012345.pdf</v>
      </c>
      <c r="AD32" s="86" t="e" cm="1">
        <f t="array" aca="1" ref="AD32" ca="1">MID(CELL("filename"),1,FIND("[",CELL("filename"))-1)&amp;"OutFiles\"</f>
        <v>#N/A</v>
      </c>
      <c r="AE32" s="86">
        <f>COUNTIFS($A$2:A32,TblDataSecond[[#This Row],[מספר זהות/ID]])</f>
        <v>13</v>
      </c>
      <c r="AQ32" s="62"/>
      <c r="AR32" s="62"/>
      <c r="AS32" s="62"/>
    </row>
    <row r="33" spans="1:45" x14ac:dyDescent="0.3">
      <c r="A33" s="88">
        <v>12345</v>
      </c>
      <c r="B33" s="80" t="s">
        <v>158</v>
      </c>
      <c r="C33" s="79" t="s">
        <v>156</v>
      </c>
      <c r="D33" s="80" t="s">
        <v>180</v>
      </c>
      <c r="E33" s="80">
        <v>44351</v>
      </c>
      <c r="F33" s="79">
        <v>131</v>
      </c>
      <c r="G33" s="80">
        <v>43082</v>
      </c>
      <c r="H33" s="81">
        <v>64</v>
      </c>
      <c r="I33" s="81">
        <v>1</v>
      </c>
      <c r="J33" s="80">
        <v>42036</v>
      </c>
      <c r="K33" s="81">
        <v>8383</v>
      </c>
      <c r="L33" s="79" t="s">
        <v>181</v>
      </c>
      <c r="M33" s="81">
        <v>30</v>
      </c>
      <c r="N33" s="81">
        <v>6</v>
      </c>
      <c r="O33" s="82">
        <v>0.62</v>
      </c>
      <c r="P33" s="83">
        <v>1531</v>
      </c>
      <c r="Q33" s="82">
        <v>0.28000000000000003</v>
      </c>
      <c r="R33" s="83">
        <v>56</v>
      </c>
      <c r="S33" s="84">
        <v>964.9</v>
      </c>
      <c r="T33" s="84"/>
      <c r="U33" s="84">
        <v>3000</v>
      </c>
      <c r="V33" s="84"/>
      <c r="W33" s="82"/>
      <c r="X33" s="82"/>
      <c r="Y33" s="82"/>
      <c r="Z33" s="79">
        <v>3.4020000000000001</v>
      </c>
      <c r="AA33" s="85" t="s">
        <v>159</v>
      </c>
      <c r="AB33" s="86" t="str">
        <f>TEXT(TblDataSecond[[#This Row],[מספר זהות/ID]],"000000000")</f>
        <v>000012345</v>
      </c>
      <c r="AC33" s="86" t="str">
        <f>File2Name&amp;"_F_"&amp;INT(TblDataSecond[[#This Row],[NumRows]]/CountMax)+1&amp;"_"&amp;TblDataSecond[[#This Row],[PassWord]]&amp;".pdf"</f>
        <v>DataSecond_F_1_000012345.pdf</v>
      </c>
      <c r="AD33" s="86" t="e" cm="1">
        <f t="array" aca="1" ref="AD33" ca="1">MID(CELL("filename"),1,FIND("[",CELL("filename"))-1)&amp;"OutFiles\"</f>
        <v>#N/A</v>
      </c>
      <c r="AE33" s="86">
        <f>COUNTIFS($A$2:A33,TblDataSecond[[#This Row],[מספר זהות/ID]])</f>
        <v>14</v>
      </c>
      <c r="AQ33" s="62"/>
      <c r="AR33" s="62"/>
      <c r="AS33" s="62"/>
    </row>
    <row r="34" spans="1:45" x14ac:dyDescent="0.3">
      <c r="A34" s="88">
        <v>12345</v>
      </c>
      <c r="B34" s="80" t="s">
        <v>158</v>
      </c>
      <c r="C34" s="79" t="s">
        <v>156</v>
      </c>
      <c r="D34" s="80" t="s">
        <v>180</v>
      </c>
      <c r="E34" s="80">
        <v>44351</v>
      </c>
      <c r="F34" s="79">
        <v>132</v>
      </c>
      <c r="G34" s="80">
        <v>43082</v>
      </c>
      <c r="H34" s="81">
        <v>64</v>
      </c>
      <c r="I34" s="81">
        <v>1</v>
      </c>
      <c r="J34" s="80">
        <v>42037</v>
      </c>
      <c r="K34" s="81">
        <v>8447</v>
      </c>
      <c r="L34" s="79" t="s">
        <v>181</v>
      </c>
      <c r="M34" s="81">
        <v>30</v>
      </c>
      <c r="N34" s="81">
        <v>6</v>
      </c>
      <c r="O34" s="82">
        <v>0.62</v>
      </c>
      <c r="P34" s="83">
        <v>1532</v>
      </c>
      <c r="Q34" s="82">
        <v>0.28000000000000003</v>
      </c>
      <c r="R34" s="83">
        <v>57</v>
      </c>
      <c r="S34" s="84">
        <v>965.80000000000007</v>
      </c>
      <c r="T34" s="84"/>
      <c r="U34" s="84">
        <v>3000</v>
      </c>
      <c r="V34" s="84"/>
      <c r="W34" s="82"/>
      <c r="X34" s="82"/>
      <c r="Y34" s="82"/>
      <c r="Z34" s="79">
        <v>3.3819648000483791</v>
      </c>
      <c r="AA34" s="85" t="s">
        <v>159</v>
      </c>
      <c r="AB34" s="86" t="str">
        <f>TEXT(TblDataSecond[[#This Row],[מספר זהות/ID]],"000000000")</f>
        <v>000012345</v>
      </c>
      <c r="AC34" s="86" t="str">
        <f>File2Name&amp;"_F_"&amp;INT(TblDataSecond[[#This Row],[NumRows]]/CountMax)+1&amp;"_"&amp;TblDataSecond[[#This Row],[PassWord]]&amp;".pdf"</f>
        <v>DataSecond_F_1_000012345.pdf</v>
      </c>
      <c r="AD34" s="86" t="e" cm="1">
        <f t="array" aca="1" ref="AD34" ca="1">MID(CELL("filename"),1,FIND("[",CELL("filename"))-1)&amp;"OutFiles\"</f>
        <v>#N/A</v>
      </c>
      <c r="AE34" s="86">
        <f>COUNTIFS($A$2:A34,TblDataSecond[[#This Row],[מספר זהות/ID]])</f>
        <v>15</v>
      </c>
      <c r="AQ34" s="62"/>
      <c r="AR34" s="62"/>
      <c r="AS34" s="62"/>
    </row>
    <row r="35" spans="1:45" x14ac:dyDescent="0.3">
      <c r="A35" s="88">
        <v>12345</v>
      </c>
      <c r="B35" s="80" t="s">
        <v>158</v>
      </c>
      <c r="C35" s="79" t="s">
        <v>156</v>
      </c>
      <c r="D35" s="80" t="s">
        <v>180</v>
      </c>
      <c r="E35" s="80">
        <v>44351</v>
      </c>
      <c r="F35" s="79">
        <v>133</v>
      </c>
      <c r="G35" s="80">
        <v>43082</v>
      </c>
      <c r="H35" s="81">
        <v>64</v>
      </c>
      <c r="I35" s="81">
        <v>1</v>
      </c>
      <c r="J35" s="80">
        <v>42038</v>
      </c>
      <c r="K35" s="81">
        <v>8511</v>
      </c>
      <c r="L35" s="79" t="s">
        <v>181</v>
      </c>
      <c r="M35" s="81">
        <v>30</v>
      </c>
      <c r="N35" s="81">
        <v>6</v>
      </c>
      <c r="O35" s="82">
        <v>0.62</v>
      </c>
      <c r="P35" s="83">
        <v>1533</v>
      </c>
      <c r="Q35" s="82">
        <v>0.28000000000000003</v>
      </c>
      <c r="R35" s="83">
        <v>58</v>
      </c>
      <c r="S35" s="84">
        <v>966.7</v>
      </c>
      <c r="T35" s="84"/>
      <c r="U35" s="84">
        <v>3000</v>
      </c>
      <c r="V35" s="84"/>
      <c r="W35" s="82"/>
      <c r="X35" s="82"/>
      <c r="Y35" s="82"/>
      <c r="Z35" s="79">
        <v>3.3819648000483791</v>
      </c>
      <c r="AA35" s="85" t="s">
        <v>159</v>
      </c>
      <c r="AB35" s="86" t="str">
        <f>TEXT(TblDataSecond[[#This Row],[מספר זהות/ID]],"000000000")</f>
        <v>000012345</v>
      </c>
      <c r="AC35" s="86" t="str">
        <f>File2Name&amp;"_F_"&amp;INT(TblDataSecond[[#This Row],[NumRows]]/CountMax)+1&amp;"_"&amp;TblDataSecond[[#This Row],[PassWord]]&amp;".pdf"</f>
        <v>DataSecond_F_1_000012345.pdf</v>
      </c>
      <c r="AD35" s="86" t="e" cm="1">
        <f t="array" aca="1" ref="AD35" ca="1">MID(CELL("filename"),1,FIND("[",CELL("filename"))-1)&amp;"OutFiles\"</f>
        <v>#N/A</v>
      </c>
      <c r="AE35" s="86">
        <f>COUNTIFS($A$2:A35,TblDataSecond[[#This Row],[מספר זהות/ID]])</f>
        <v>16</v>
      </c>
      <c r="AQ35" s="62"/>
      <c r="AR35" s="62"/>
      <c r="AS35" s="62"/>
    </row>
    <row r="36" spans="1:45" x14ac:dyDescent="0.3">
      <c r="A36" s="88">
        <v>12345</v>
      </c>
      <c r="B36" s="80" t="s">
        <v>158</v>
      </c>
      <c r="C36" s="79" t="s">
        <v>156</v>
      </c>
      <c r="D36" s="80" t="s">
        <v>180</v>
      </c>
      <c r="E36" s="80">
        <v>44351</v>
      </c>
      <c r="F36" s="79">
        <v>134</v>
      </c>
      <c r="G36" s="80">
        <v>43082</v>
      </c>
      <c r="H36" s="81">
        <v>64</v>
      </c>
      <c r="I36" s="81">
        <v>1</v>
      </c>
      <c r="J36" s="80">
        <v>42039</v>
      </c>
      <c r="K36" s="81">
        <v>8575</v>
      </c>
      <c r="L36" s="79" t="s">
        <v>181</v>
      </c>
      <c r="M36" s="81">
        <v>30</v>
      </c>
      <c r="N36" s="81">
        <v>6</v>
      </c>
      <c r="O36" s="82">
        <v>0.62</v>
      </c>
      <c r="P36" s="83">
        <v>1534</v>
      </c>
      <c r="Q36" s="82">
        <v>0.28000000000000003</v>
      </c>
      <c r="R36" s="83">
        <v>59</v>
      </c>
      <c r="S36" s="84">
        <v>967.6</v>
      </c>
      <c r="T36" s="84"/>
      <c r="U36" s="84">
        <v>3000</v>
      </c>
      <c r="V36" s="84"/>
      <c r="W36" s="82"/>
      <c r="X36" s="82"/>
      <c r="Y36" s="82"/>
      <c r="Z36" s="79">
        <v>3.3819648000483791</v>
      </c>
      <c r="AA36" s="85" t="s">
        <v>159</v>
      </c>
      <c r="AB36" s="86" t="str">
        <f>TEXT(TblDataSecond[[#This Row],[מספר זהות/ID]],"000000000")</f>
        <v>000012345</v>
      </c>
      <c r="AC36" s="86" t="str">
        <f>File2Name&amp;"_F_"&amp;INT(TblDataSecond[[#This Row],[NumRows]]/CountMax)+1&amp;"_"&amp;TblDataSecond[[#This Row],[PassWord]]&amp;".pdf"</f>
        <v>DataSecond_F_1_000012345.pdf</v>
      </c>
      <c r="AD36" s="86" t="e" cm="1">
        <f t="array" aca="1" ref="AD36" ca="1">MID(CELL("filename"),1,FIND("[",CELL("filename"))-1)&amp;"OutFiles\"</f>
        <v>#N/A</v>
      </c>
      <c r="AE36" s="86">
        <f>COUNTIFS($A$2:A36,TblDataSecond[[#This Row],[מספר זהות/ID]])</f>
        <v>17</v>
      </c>
      <c r="AQ36" s="62"/>
      <c r="AR36" s="62"/>
      <c r="AS36" s="62"/>
    </row>
    <row r="37" spans="1:45" x14ac:dyDescent="0.3">
      <c r="A37" s="88">
        <v>12345</v>
      </c>
      <c r="B37" s="80" t="s">
        <v>158</v>
      </c>
      <c r="C37" s="79" t="s">
        <v>156</v>
      </c>
      <c r="D37" s="80" t="s">
        <v>180</v>
      </c>
      <c r="E37" s="80">
        <v>44351</v>
      </c>
      <c r="F37" s="79">
        <v>135</v>
      </c>
      <c r="G37" s="80">
        <v>43082</v>
      </c>
      <c r="H37" s="81">
        <v>64</v>
      </c>
      <c r="I37" s="81">
        <v>1</v>
      </c>
      <c r="J37" s="80">
        <v>42040</v>
      </c>
      <c r="K37" s="81">
        <v>8639</v>
      </c>
      <c r="L37" s="79" t="s">
        <v>181</v>
      </c>
      <c r="M37" s="81">
        <v>30</v>
      </c>
      <c r="N37" s="81">
        <v>6</v>
      </c>
      <c r="O37" s="82">
        <v>0.62</v>
      </c>
      <c r="P37" s="83">
        <v>1535</v>
      </c>
      <c r="Q37" s="82">
        <v>0.28000000000000003</v>
      </c>
      <c r="R37" s="83">
        <v>60</v>
      </c>
      <c r="S37" s="84">
        <v>968.5</v>
      </c>
      <c r="T37" s="84"/>
      <c r="U37" s="84">
        <v>3000</v>
      </c>
      <c r="V37" s="84"/>
      <c r="W37" s="82"/>
      <c r="X37" s="82"/>
      <c r="Y37" s="82"/>
      <c r="Z37" s="79">
        <v>3.3819648000483791</v>
      </c>
      <c r="AA37" s="85" t="s">
        <v>159</v>
      </c>
      <c r="AB37" s="86" t="str">
        <f>TEXT(TblDataSecond[[#This Row],[מספר זהות/ID]],"000000000")</f>
        <v>000012345</v>
      </c>
      <c r="AC37" s="86" t="str">
        <f>File2Name&amp;"_F_"&amp;INT(TblDataSecond[[#This Row],[NumRows]]/CountMax)+1&amp;"_"&amp;TblDataSecond[[#This Row],[PassWord]]&amp;".pdf"</f>
        <v>DataSecond_F_1_000012345.pdf</v>
      </c>
      <c r="AD37" s="86" t="e" cm="1">
        <f t="array" aca="1" ref="AD37" ca="1">MID(CELL("filename"),1,FIND("[",CELL("filename"))-1)&amp;"OutFiles\"</f>
        <v>#N/A</v>
      </c>
      <c r="AE37" s="86">
        <f>COUNTIFS($A$2:A37,TblDataSecond[[#This Row],[מספר זהות/ID]])</f>
        <v>18</v>
      </c>
      <c r="AQ37" s="62"/>
      <c r="AR37" s="62"/>
      <c r="AS37" s="62"/>
    </row>
    <row r="38" spans="1:45" x14ac:dyDescent="0.3">
      <c r="A38" s="88">
        <v>12345</v>
      </c>
      <c r="B38" s="80" t="s">
        <v>158</v>
      </c>
      <c r="C38" s="79" t="s">
        <v>156</v>
      </c>
      <c r="D38" s="80" t="s">
        <v>180</v>
      </c>
      <c r="E38" s="80">
        <v>44351</v>
      </c>
      <c r="F38" s="79">
        <v>136</v>
      </c>
      <c r="G38" s="80">
        <v>43082</v>
      </c>
      <c r="H38" s="81">
        <v>64</v>
      </c>
      <c r="I38" s="81">
        <v>1</v>
      </c>
      <c r="J38" s="80">
        <v>42041</v>
      </c>
      <c r="K38" s="81">
        <v>8703</v>
      </c>
      <c r="L38" s="79" t="s">
        <v>181</v>
      </c>
      <c r="M38" s="81">
        <v>30</v>
      </c>
      <c r="N38" s="81">
        <v>6</v>
      </c>
      <c r="O38" s="82">
        <v>0.62</v>
      </c>
      <c r="P38" s="83">
        <v>1536</v>
      </c>
      <c r="Q38" s="82">
        <v>0.28000000000000003</v>
      </c>
      <c r="R38" s="83">
        <v>61</v>
      </c>
      <c r="S38" s="84">
        <v>969.4</v>
      </c>
      <c r="T38" s="84"/>
      <c r="U38" s="84">
        <v>3000</v>
      </c>
      <c r="V38" s="84"/>
      <c r="W38" s="82"/>
      <c r="X38" s="82"/>
      <c r="Y38" s="82"/>
      <c r="Z38" s="79">
        <v>3.3819648000483791</v>
      </c>
      <c r="AA38" s="85" t="s">
        <v>159</v>
      </c>
      <c r="AB38" s="86" t="str">
        <f>TEXT(TblDataSecond[[#This Row],[מספר זהות/ID]],"000000000")</f>
        <v>000012345</v>
      </c>
      <c r="AC38" s="86" t="str">
        <f>File2Name&amp;"_F_"&amp;INT(TblDataSecond[[#This Row],[NumRows]]/CountMax)+1&amp;"_"&amp;TblDataSecond[[#This Row],[PassWord]]&amp;".pdf"</f>
        <v>DataSecond_F_1_000012345.pdf</v>
      </c>
      <c r="AD38" s="86" t="e" cm="1">
        <f t="array" aca="1" ref="AD38" ca="1">MID(CELL("filename"),1,FIND("[",CELL("filename"))-1)&amp;"OutFiles\"</f>
        <v>#N/A</v>
      </c>
      <c r="AE38" s="86">
        <f>COUNTIFS($A$2:A38,TblDataSecond[[#This Row],[מספר זהות/ID]])</f>
        <v>19</v>
      </c>
      <c r="AQ38" s="62"/>
      <c r="AR38" s="62"/>
      <c r="AS38" s="62"/>
    </row>
    <row r="39" spans="1:45" x14ac:dyDescent="0.3">
      <c r="A39" s="88">
        <v>12345</v>
      </c>
      <c r="B39" s="80" t="s">
        <v>158</v>
      </c>
      <c r="C39" s="79" t="s">
        <v>156</v>
      </c>
      <c r="D39" s="80" t="s">
        <v>180</v>
      </c>
      <c r="E39" s="80">
        <v>44351</v>
      </c>
      <c r="F39" s="79">
        <v>137</v>
      </c>
      <c r="G39" s="80">
        <v>43082</v>
      </c>
      <c r="H39" s="81">
        <v>64</v>
      </c>
      <c r="I39" s="81">
        <v>1</v>
      </c>
      <c r="J39" s="80">
        <v>42042</v>
      </c>
      <c r="K39" s="81">
        <v>8767</v>
      </c>
      <c r="L39" s="79" t="s">
        <v>181</v>
      </c>
      <c r="M39" s="81">
        <v>30</v>
      </c>
      <c r="N39" s="81">
        <v>6</v>
      </c>
      <c r="O39" s="82">
        <v>0.62</v>
      </c>
      <c r="P39" s="83">
        <v>1537</v>
      </c>
      <c r="Q39" s="82">
        <v>0.28000000000000003</v>
      </c>
      <c r="R39" s="83">
        <v>62</v>
      </c>
      <c r="S39" s="84">
        <v>970.3</v>
      </c>
      <c r="T39" s="84"/>
      <c r="U39" s="84">
        <v>3000</v>
      </c>
      <c r="V39" s="84"/>
      <c r="W39" s="82"/>
      <c r="X39" s="82"/>
      <c r="Y39" s="82"/>
      <c r="Z39" s="79">
        <v>3.3819648000483791</v>
      </c>
      <c r="AA39" s="85" t="s">
        <v>159</v>
      </c>
      <c r="AB39" s="86" t="str">
        <f>TEXT(TblDataSecond[[#This Row],[מספר זהות/ID]],"000000000")</f>
        <v>000012345</v>
      </c>
      <c r="AC39" s="86" t="str">
        <f>File2Name&amp;"_F_"&amp;INT(TblDataSecond[[#This Row],[NumRows]]/CountMax)+1&amp;"_"&amp;TblDataSecond[[#This Row],[PassWord]]&amp;".pdf"</f>
        <v>DataSecond_F_1_000012345.pdf</v>
      </c>
      <c r="AD39" s="86" t="e" cm="1">
        <f t="array" aca="1" ref="AD39" ca="1">MID(CELL("filename"),1,FIND("[",CELL("filename"))-1)&amp;"OutFiles\"</f>
        <v>#N/A</v>
      </c>
      <c r="AE39" s="86">
        <f>COUNTIFS($A$2:A39,TblDataSecond[[#This Row],[מספר זהות/ID]])</f>
        <v>20</v>
      </c>
      <c r="AQ39" s="62"/>
      <c r="AR39" s="62"/>
      <c r="AS39" s="62"/>
    </row>
    <row r="40" spans="1:45" x14ac:dyDescent="0.3">
      <c r="A40" s="88">
        <v>12345</v>
      </c>
      <c r="B40" s="80" t="s">
        <v>158</v>
      </c>
      <c r="C40" s="79" t="s">
        <v>156</v>
      </c>
      <c r="D40" s="80" t="s">
        <v>180</v>
      </c>
      <c r="E40" s="80">
        <v>44351</v>
      </c>
      <c r="F40" s="79">
        <v>138</v>
      </c>
      <c r="G40" s="80">
        <v>43082</v>
      </c>
      <c r="H40" s="81">
        <v>64</v>
      </c>
      <c r="I40" s="81">
        <v>1</v>
      </c>
      <c r="J40" s="80">
        <v>42043</v>
      </c>
      <c r="K40" s="81">
        <v>8831</v>
      </c>
      <c r="L40" s="79" t="s">
        <v>181</v>
      </c>
      <c r="M40" s="81">
        <v>30</v>
      </c>
      <c r="N40" s="81">
        <v>6</v>
      </c>
      <c r="O40" s="82">
        <v>0.62</v>
      </c>
      <c r="P40" s="83">
        <v>1538</v>
      </c>
      <c r="Q40" s="82">
        <v>0.28000000000000003</v>
      </c>
      <c r="R40" s="83">
        <v>63</v>
      </c>
      <c r="S40" s="84">
        <v>971.19999999999993</v>
      </c>
      <c r="T40" s="84"/>
      <c r="U40" s="84">
        <v>3000</v>
      </c>
      <c r="V40" s="84"/>
      <c r="W40" s="82"/>
      <c r="X40" s="82"/>
      <c r="Y40" s="82"/>
      <c r="Z40" s="79">
        <v>3.3819648000483791</v>
      </c>
      <c r="AA40" s="85" t="s">
        <v>159</v>
      </c>
      <c r="AB40" s="86" t="str">
        <f>TEXT(TblDataSecond[[#This Row],[מספר זהות/ID]],"000000000")</f>
        <v>000012345</v>
      </c>
      <c r="AC40" s="86" t="str">
        <f>File2Name&amp;"_F_"&amp;INT(TblDataSecond[[#This Row],[NumRows]]/CountMax)+1&amp;"_"&amp;TblDataSecond[[#This Row],[PassWord]]&amp;".pdf"</f>
        <v>DataSecond_F_1_000012345.pdf</v>
      </c>
      <c r="AD40" s="86" t="e" cm="1">
        <f t="array" aca="1" ref="AD40" ca="1">MID(CELL("filename"),1,FIND("[",CELL("filename"))-1)&amp;"OutFiles\"</f>
        <v>#N/A</v>
      </c>
      <c r="AE40" s="86">
        <f>COUNTIFS($A$2:A40,TblDataSecond[[#This Row],[מספר זהות/ID]])</f>
        <v>21</v>
      </c>
      <c r="AQ40" s="62"/>
      <c r="AR40" s="62"/>
      <c r="AS40" s="62"/>
    </row>
    <row r="41" spans="1:45" x14ac:dyDescent="0.3">
      <c r="A41" s="88">
        <v>12345</v>
      </c>
      <c r="B41" s="80" t="s">
        <v>158</v>
      </c>
      <c r="C41" s="79" t="s">
        <v>156</v>
      </c>
      <c r="D41" s="80" t="s">
        <v>180</v>
      </c>
      <c r="E41" s="80">
        <v>44351</v>
      </c>
      <c r="F41" s="79">
        <v>139</v>
      </c>
      <c r="G41" s="80">
        <v>43082</v>
      </c>
      <c r="H41" s="81">
        <v>64</v>
      </c>
      <c r="I41" s="81">
        <v>1</v>
      </c>
      <c r="J41" s="80">
        <v>42044</v>
      </c>
      <c r="K41" s="81">
        <v>8895</v>
      </c>
      <c r="L41" s="79" t="s">
        <v>181</v>
      </c>
      <c r="M41" s="81">
        <v>30</v>
      </c>
      <c r="N41" s="81">
        <v>6</v>
      </c>
      <c r="O41" s="82">
        <v>0.62</v>
      </c>
      <c r="P41" s="83">
        <v>1539</v>
      </c>
      <c r="Q41" s="82">
        <v>0.28000000000000003</v>
      </c>
      <c r="R41" s="83">
        <v>64</v>
      </c>
      <c r="S41" s="84">
        <v>972.09999999999991</v>
      </c>
      <c r="T41" s="84"/>
      <c r="U41" s="84">
        <v>3000</v>
      </c>
      <c r="V41" s="84"/>
      <c r="W41" s="82"/>
      <c r="X41" s="82"/>
      <c r="Y41" s="82"/>
      <c r="Z41" s="79">
        <v>3.4220000000000002</v>
      </c>
      <c r="AA41" s="85" t="s">
        <v>159</v>
      </c>
      <c r="AB41" s="86" t="str">
        <f>TEXT(TblDataSecond[[#This Row],[מספר זהות/ID]],"000000000")</f>
        <v>000012345</v>
      </c>
      <c r="AC41" s="86" t="str">
        <f>File2Name&amp;"_F_"&amp;INT(TblDataSecond[[#This Row],[NumRows]]/CountMax)+1&amp;"_"&amp;TblDataSecond[[#This Row],[PassWord]]&amp;".pdf"</f>
        <v>DataSecond_F_1_000012345.pdf</v>
      </c>
      <c r="AD41" s="86" t="e" cm="1">
        <f t="array" aca="1" ref="AD41" ca="1">MID(CELL("filename"),1,FIND("[",CELL("filename"))-1)&amp;"OutFiles\"</f>
        <v>#N/A</v>
      </c>
      <c r="AE41" s="86">
        <f>COUNTIFS($A$2:A41,TblDataSecond[[#This Row],[מספר זהות/ID]])</f>
        <v>22</v>
      </c>
      <c r="AQ41" s="62"/>
      <c r="AR41" s="62"/>
      <c r="AS41" s="62"/>
    </row>
    <row r="42" spans="1:45" x14ac:dyDescent="0.3">
      <c r="A42" s="88">
        <v>12345</v>
      </c>
      <c r="B42" s="80" t="s">
        <v>158</v>
      </c>
      <c r="C42" s="79" t="s">
        <v>156</v>
      </c>
      <c r="D42" s="80" t="s">
        <v>180</v>
      </c>
      <c r="E42" s="80">
        <v>44351</v>
      </c>
      <c r="F42" s="79">
        <v>140</v>
      </c>
      <c r="G42" s="80">
        <v>42782</v>
      </c>
      <c r="H42" s="81">
        <v>64</v>
      </c>
      <c r="I42" s="81">
        <v>1</v>
      </c>
      <c r="J42" s="80">
        <v>42045</v>
      </c>
      <c r="K42" s="81">
        <v>8959</v>
      </c>
      <c r="L42" s="79" t="s">
        <v>181</v>
      </c>
      <c r="M42" s="81">
        <v>30</v>
      </c>
      <c r="N42" s="81">
        <v>6</v>
      </c>
      <c r="O42" s="82">
        <v>0.62</v>
      </c>
      <c r="P42" s="83">
        <v>1540</v>
      </c>
      <c r="Q42" s="82">
        <v>0.28000000000000003</v>
      </c>
      <c r="R42" s="83">
        <v>65</v>
      </c>
      <c r="S42" s="84">
        <v>973</v>
      </c>
      <c r="T42" s="84"/>
      <c r="U42" s="84">
        <v>3000</v>
      </c>
      <c r="V42" s="84"/>
      <c r="W42" s="82"/>
      <c r="X42" s="82"/>
      <c r="Y42" s="82"/>
      <c r="Z42" s="79">
        <v>3.4312758039810274</v>
      </c>
      <c r="AA42" s="85" t="s">
        <v>159</v>
      </c>
      <c r="AB42" s="89" t="str">
        <f>TEXT(TblDataSecond[[#This Row],[מספר זהות/ID]],"000000000")</f>
        <v>000012345</v>
      </c>
      <c r="AC42" s="89" t="str">
        <f>File2Name&amp;"_F_"&amp;INT(TblDataSecond[[#This Row],[NumRows]]/CountMax)+1&amp;"_"&amp;TblDataSecond[[#This Row],[PassWord]]&amp;".pdf"</f>
        <v>DataSecond_F_1_000012345.pdf</v>
      </c>
      <c r="AD42" s="89" t="e" cm="1">
        <f t="array" aca="1" ref="AD42" ca="1">MID(CELL("filename"),1,FIND("[",CELL("filename"))-1)&amp;"OutFiles\"</f>
        <v>#N/A</v>
      </c>
      <c r="AE42" s="89">
        <f>COUNTIFS($A$2:A42,TblDataSecond[[#This Row],[מספר זהות/ID]])</f>
        <v>23</v>
      </c>
      <c r="AQ42" s="63"/>
      <c r="AR42" s="63"/>
      <c r="AS42" s="63"/>
    </row>
    <row r="43" spans="1:45" x14ac:dyDescent="0.3">
      <c r="A43" s="88">
        <v>12345</v>
      </c>
      <c r="B43" s="80" t="s">
        <v>158</v>
      </c>
      <c r="C43" s="79" t="s">
        <v>156</v>
      </c>
      <c r="D43" s="80" t="s">
        <v>180</v>
      </c>
      <c r="E43" s="80">
        <v>44351</v>
      </c>
      <c r="F43" s="79">
        <v>141</v>
      </c>
      <c r="G43" s="80">
        <v>42782</v>
      </c>
      <c r="H43" s="81">
        <v>64</v>
      </c>
      <c r="I43" s="81">
        <v>1</v>
      </c>
      <c r="J43" s="80">
        <v>42046</v>
      </c>
      <c r="K43" s="81">
        <v>9023</v>
      </c>
      <c r="L43" s="79" t="s">
        <v>181</v>
      </c>
      <c r="M43" s="81">
        <v>30</v>
      </c>
      <c r="N43" s="81">
        <v>6</v>
      </c>
      <c r="O43" s="82">
        <v>0.62</v>
      </c>
      <c r="P43" s="83">
        <v>1541</v>
      </c>
      <c r="Q43" s="82">
        <v>0.28000000000000003</v>
      </c>
      <c r="R43" s="83">
        <v>66</v>
      </c>
      <c r="S43" s="84">
        <v>973.9</v>
      </c>
      <c r="T43" s="84"/>
      <c r="U43" s="84">
        <v>3000</v>
      </c>
      <c r="V43" s="84"/>
      <c r="W43" s="82"/>
      <c r="X43" s="82"/>
      <c r="Y43" s="82"/>
      <c r="Z43" s="79">
        <v>3.4312758039810274</v>
      </c>
      <c r="AA43" s="85" t="s">
        <v>159</v>
      </c>
      <c r="AB43" s="89" t="str">
        <f>TEXT(TblDataSecond[[#This Row],[מספר זהות/ID]],"000000000")</f>
        <v>000012345</v>
      </c>
      <c r="AC43" s="89" t="str">
        <f>File2Name&amp;"_F_"&amp;INT(TblDataSecond[[#This Row],[NumRows]]/CountMax)+1&amp;"_"&amp;TblDataSecond[[#This Row],[PassWord]]&amp;".pdf"</f>
        <v>DataSecond_F_1_000012345.pdf</v>
      </c>
      <c r="AD43" s="89" t="e" cm="1">
        <f t="array" aca="1" ref="AD43" ca="1">MID(CELL("filename"),1,FIND("[",CELL("filename"))-1)&amp;"OutFiles\"</f>
        <v>#N/A</v>
      </c>
      <c r="AE43" s="89">
        <f>COUNTIFS($A$2:A43,TblDataSecond[[#This Row],[מספר זהות/ID]])</f>
        <v>24</v>
      </c>
      <c r="AQ43" s="63"/>
      <c r="AR43" s="63"/>
      <c r="AS43" s="63"/>
    </row>
    <row r="44" spans="1:45" x14ac:dyDescent="0.3">
      <c r="A44" s="88">
        <v>12345</v>
      </c>
      <c r="B44" s="80" t="s">
        <v>158</v>
      </c>
      <c r="C44" s="79" t="s">
        <v>156</v>
      </c>
      <c r="D44" s="80" t="s">
        <v>180</v>
      </c>
      <c r="E44" s="80">
        <v>44351</v>
      </c>
      <c r="F44" s="79">
        <v>142</v>
      </c>
      <c r="G44" s="80">
        <v>42782</v>
      </c>
      <c r="H44" s="81">
        <v>64</v>
      </c>
      <c r="I44" s="81">
        <v>1</v>
      </c>
      <c r="J44" s="80">
        <v>42047</v>
      </c>
      <c r="K44" s="81">
        <v>9087</v>
      </c>
      <c r="L44" s="79" t="s">
        <v>181</v>
      </c>
      <c r="M44" s="81">
        <v>30</v>
      </c>
      <c r="N44" s="81">
        <v>6</v>
      </c>
      <c r="O44" s="82">
        <v>0.62</v>
      </c>
      <c r="P44" s="83">
        <v>1542</v>
      </c>
      <c r="Q44" s="82">
        <v>0.28000000000000003</v>
      </c>
      <c r="R44" s="83">
        <v>67</v>
      </c>
      <c r="S44" s="84">
        <v>974.8</v>
      </c>
      <c r="T44" s="84"/>
      <c r="U44" s="84">
        <v>3000</v>
      </c>
      <c r="V44" s="84"/>
      <c r="W44" s="82"/>
      <c r="X44" s="82"/>
      <c r="Y44" s="82"/>
      <c r="Z44" s="79">
        <v>3.4312758039810274</v>
      </c>
      <c r="AA44" s="85" t="s">
        <v>159</v>
      </c>
      <c r="AB44" s="89" t="str">
        <f>TEXT(TblDataSecond[[#This Row],[מספר זהות/ID]],"000000000")</f>
        <v>000012345</v>
      </c>
      <c r="AC44" s="89" t="str">
        <f>File2Name&amp;"_F_"&amp;INT(TblDataSecond[[#This Row],[NumRows]]/CountMax)+1&amp;"_"&amp;TblDataSecond[[#This Row],[PassWord]]&amp;".pdf"</f>
        <v>DataSecond_F_1_000012345.pdf</v>
      </c>
      <c r="AD44" s="89" t="e" cm="1">
        <f t="array" aca="1" ref="AD44" ca="1">MID(CELL("filename"),1,FIND("[",CELL("filename"))-1)&amp;"OutFiles\"</f>
        <v>#N/A</v>
      </c>
      <c r="AE44" s="89">
        <f>COUNTIFS($A$2:A44,TblDataSecond[[#This Row],[מספר זהות/ID]])</f>
        <v>25</v>
      </c>
      <c r="AQ44" s="63"/>
      <c r="AR44" s="63"/>
      <c r="AS44" s="63"/>
    </row>
    <row r="45" spans="1:45" x14ac:dyDescent="0.3">
      <c r="A45" s="88">
        <v>12345</v>
      </c>
      <c r="B45" s="80" t="s">
        <v>158</v>
      </c>
      <c r="C45" s="79" t="s">
        <v>156</v>
      </c>
      <c r="D45" s="80" t="s">
        <v>180</v>
      </c>
      <c r="E45" s="80">
        <v>44351</v>
      </c>
      <c r="F45" s="79">
        <v>143</v>
      </c>
      <c r="G45" s="80">
        <v>42782</v>
      </c>
      <c r="H45" s="81">
        <v>64</v>
      </c>
      <c r="I45" s="81">
        <v>1</v>
      </c>
      <c r="J45" s="80">
        <v>42048</v>
      </c>
      <c r="K45" s="81">
        <v>9151</v>
      </c>
      <c r="L45" s="79" t="s">
        <v>181</v>
      </c>
      <c r="M45" s="81">
        <v>30</v>
      </c>
      <c r="N45" s="81">
        <v>6</v>
      </c>
      <c r="O45" s="82">
        <v>0.62</v>
      </c>
      <c r="P45" s="83">
        <v>1543</v>
      </c>
      <c r="Q45" s="82">
        <v>0.28000000000000003</v>
      </c>
      <c r="R45" s="83">
        <v>68</v>
      </c>
      <c r="S45" s="84">
        <v>975.69999999999993</v>
      </c>
      <c r="T45" s="84"/>
      <c r="U45" s="84">
        <v>3000</v>
      </c>
      <c r="V45" s="84"/>
      <c r="W45" s="82"/>
      <c r="X45" s="82"/>
      <c r="Y45" s="82"/>
      <c r="Z45" s="79">
        <v>3.3998070490753061</v>
      </c>
      <c r="AA45" s="85" t="s">
        <v>159</v>
      </c>
      <c r="AB45" s="89" t="str">
        <f>TEXT(TblDataSecond[[#This Row],[מספר זהות/ID]],"000000000")</f>
        <v>000012345</v>
      </c>
      <c r="AC45" s="89" t="str">
        <f>File2Name&amp;"_F_"&amp;INT(TblDataSecond[[#This Row],[NumRows]]/CountMax)+1&amp;"_"&amp;TblDataSecond[[#This Row],[PassWord]]&amp;".pdf"</f>
        <v>DataSecond_F_1_000012345.pdf</v>
      </c>
      <c r="AD45" s="89" t="e" cm="1">
        <f t="array" aca="1" ref="AD45" ca="1">MID(CELL("filename"),1,FIND("[",CELL("filename"))-1)&amp;"OutFiles\"</f>
        <v>#N/A</v>
      </c>
      <c r="AE45" s="89">
        <f>COUNTIFS($A$2:A45,TblDataSecond[[#This Row],[מספר זהות/ID]])</f>
        <v>26</v>
      </c>
      <c r="AQ45" s="63"/>
      <c r="AR45" s="63"/>
      <c r="AS45" s="63"/>
    </row>
    <row r="46" spans="1:45" x14ac:dyDescent="0.3">
      <c r="A46" s="88">
        <v>12345</v>
      </c>
      <c r="B46" s="80" t="s">
        <v>158</v>
      </c>
      <c r="C46" s="79" t="s">
        <v>156</v>
      </c>
      <c r="D46" s="80" t="s">
        <v>180</v>
      </c>
      <c r="E46" s="80">
        <v>44351</v>
      </c>
      <c r="F46" s="79">
        <v>144</v>
      </c>
      <c r="G46" s="80">
        <v>42782</v>
      </c>
      <c r="H46" s="81">
        <v>64</v>
      </c>
      <c r="I46" s="81">
        <v>1</v>
      </c>
      <c r="J46" s="80">
        <v>42049</v>
      </c>
      <c r="K46" s="81">
        <v>9215</v>
      </c>
      <c r="L46" s="79" t="s">
        <v>181</v>
      </c>
      <c r="M46" s="81">
        <v>30</v>
      </c>
      <c r="N46" s="81">
        <v>6</v>
      </c>
      <c r="O46" s="82">
        <v>0.62</v>
      </c>
      <c r="P46" s="83">
        <v>1544</v>
      </c>
      <c r="Q46" s="82">
        <v>0.28000000000000003</v>
      </c>
      <c r="R46" s="83">
        <v>69</v>
      </c>
      <c r="S46" s="84">
        <v>976.6</v>
      </c>
      <c r="T46" s="84"/>
      <c r="U46" s="84">
        <v>3000</v>
      </c>
      <c r="V46" s="84"/>
      <c r="W46" s="82"/>
      <c r="X46" s="82"/>
      <c r="Y46" s="82"/>
      <c r="Z46" s="79">
        <v>3.3998070490753061</v>
      </c>
      <c r="AA46" s="85" t="s">
        <v>159</v>
      </c>
      <c r="AB46" s="89" t="str">
        <f>TEXT(TblDataSecond[[#This Row],[מספר זהות/ID]],"000000000")</f>
        <v>000012345</v>
      </c>
      <c r="AC46" s="89" t="str">
        <f>File2Name&amp;"_F_"&amp;INT(TblDataSecond[[#This Row],[NumRows]]/CountMax)+1&amp;"_"&amp;TblDataSecond[[#This Row],[PassWord]]&amp;".pdf"</f>
        <v>DataSecond_F_2_000012345.pdf</v>
      </c>
      <c r="AD46" s="89" t="e" cm="1">
        <f t="array" aca="1" ref="AD46" ca="1">MID(CELL("filename"),1,FIND("[",CELL("filename"))-1)&amp;"OutFiles\"</f>
        <v>#N/A</v>
      </c>
      <c r="AE46" s="89">
        <f>COUNTIFS($A$2:A46,TblDataSecond[[#This Row],[מספר זהות/ID]])</f>
        <v>27</v>
      </c>
      <c r="AQ46" s="63"/>
      <c r="AR46" s="63"/>
      <c r="AS46" s="63"/>
    </row>
    <row r="47" spans="1:45" x14ac:dyDescent="0.3">
      <c r="A47" s="88">
        <v>12345</v>
      </c>
      <c r="B47" s="80" t="s">
        <v>158</v>
      </c>
      <c r="C47" s="79" t="s">
        <v>156</v>
      </c>
      <c r="D47" s="80" t="s">
        <v>180</v>
      </c>
      <c r="E47" s="80">
        <v>44351</v>
      </c>
      <c r="F47" s="79">
        <v>145</v>
      </c>
      <c r="G47" s="80">
        <v>42782</v>
      </c>
      <c r="H47" s="81">
        <v>64</v>
      </c>
      <c r="I47" s="81">
        <v>1</v>
      </c>
      <c r="J47" s="80">
        <v>42050</v>
      </c>
      <c r="K47" s="81">
        <v>9279</v>
      </c>
      <c r="L47" s="79" t="s">
        <v>181</v>
      </c>
      <c r="M47" s="81">
        <v>30</v>
      </c>
      <c r="N47" s="81">
        <v>6</v>
      </c>
      <c r="O47" s="82">
        <v>0.62</v>
      </c>
      <c r="P47" s="83">
        <v>1545</v>
      </c>
      <c r="Q47" s="82">
        <v>0.28000000000000003</v>
      </c>
      <c r="R47" s="83">
        <v>70</v>
      </c>
      <c r="S47" s="84">
        <v>977.5</v>
      </c>
      <c r="T47" s="84"/>
      <c r="U47" s="84">
        <v>3000</v>
      </c>
      <c r="V47" s="84"/>
      <c r="W47" s="82"/>
      <c r="X47" s="82"/>
      <c r="Y47" s="82"/>
      <c r="Z47" s="79">
        <v>3.4020000000000001</v>
      </c>
      <c r="AA47" s="85" t="s">
        <v>159</v>
      </c>
      <c r="AB47" s="89" t="str">
        <f>TEXT(TblDataSecond[[#This Row],[מספר זהות/ID]],"000000000")</f>
        <v>000012345</v>
      </c>
      <c r="AC47" s="89" t="str">
        <f>File2Name&amp;"_F_"&amp;INT(TblDataSecond[[#This Row],[NumRows]]/CountMax)+1&amp;"_"&amp;TblDataSecond[[#This Row],[PassWord]]&amp;".pdf"</f>
        <v>DataSecond_F_2_000012345.pdf</v>
      </c>
      <c r="AD47" s="89" t="e" cm="1">
        <f t="array" aca="1" ref="AD47" ca="1">MID(CELL("filename"),1,FIND("[",CELL("filename"))-1)&amp;"OutFiles\"</f>
        <v>#N/A</v>
      </c>
      <c r="AE47" s="89">
        <f>COUNTIFS($A$2:A47,TblDataSecond[[#This Row],[מספר זהות/ID]])</f>
        <v>28</v>
      </c>
      <c r="AQ47" s="63"/>
      <c r="AR47" s="63"/>
      <c r="AS47" s="63"/>
    </row>
    <row r="48" spans="1:45" x14ac:dyDescent="0.3">
      <c r="A48" s="88">
        <v>12345</v>
      </c>
      <c r="B48" s="80" t="s">
        <v>158</v>
      </c>
      <c r="C48" s="79" t="s">
        <v>156</v>
      </c>
      <c r="D48" s="80" t="s">
        <v>180</v>
      </c>
      <c r="E48" s="80">
        <v>44351</v>
      </c>
      <c r="F48" s="79">
        <v>146</v>
      </c>
      <c r="G48" s="80">
        <v>42782</v>
      </c>
      <c r="H48" s="81">
        <v>64</v>
      </c>
      <c r="I48" s="81">
        <v>1</v>
      </c>
      <c r="J48" s="80">
        <v>42051</v>
      </c>
      <c r="K48" s="81">
        <v>9343</v>
      </c>
      <c r="L48" s="79" t="s">
        <v>181</v>
      </c>
      <c r="M48" s="81">
        <v>30</v>
      </c>
      <c r="N48" s="81">
        <v>6</v>
      </c>
      <c r="O48" s="82">
        <v>0.62</v>
      </c>
      <c r="P48" s="83">
        <v>1546</v>
      </c>
      <c r="Q48" s="82">
        <v>0.28000000000000003</v>
      </c>
      <c r="R48" s="83">
        <v>71</v>
      </c>
      <c r="S48" s="84">
        <v>978.4</v>
      </c>
      <c r="T48" s="84"/>
      <c r="U48" s="84">
        <v>3000</v>
      </c>
      <c r="V48" s="84"/>
      <c r="W48" s="82"/>
      <c r="X48" s="82"/>
      <c r="Y48" s="82"/>
      <c r="Z48" s="79">
        <v>3.3819648000483791</v>
      </c>
      <c r="AA48" s="85" t="s">
        <v>159</v>
      </c>
      <c r="AB48" s="89" t="str">
        <f>TEXT(TblDataSecond[[#This Row],[מספר זהות/ID]],"000000000")</f>
        <v>000012345</v>
      </c>
      <c r="AC48" s="89" t="str">
        <f>File2Name&amp;"_F_"&amp;INT(TblDataSecond[[#This Row],[NumRows]]/CountMax)+1&amp;"_"&amp;TblDataSecond[[#This Row],[PassWord]]&amp;".pdf"</f>
        <v>DataSecond_F_2_000012345.pdf</v>
      </c>
      <c r="AD48" s="89" t="e" cm="1">
        <f t="array" aca="1" ref="AD48" ca="1">MID(CELL("filename"),1,FIND("[",CELL("filename"))-1)&amp;"OutFiles\"</f>
        <v>#N/A</v>
      </c>
      <c r="AE48" s="89">
        <f>COUNTIFS($A$2:A48,TblDataSecond[[#This Row],[מספר זהות/ID]])</f>
        <v>29</v>
      </c>
      <c r="AQ48" s="63"/>
      <c r="AR48" s="63"/>
      <c r="AS48" s="63"/>
    </row>
    <row r="49" spans="1:45" x14ac:dyDescent="0.3">
      <c r="A49" s="88">
        <v>12345</v>
      </c>
      <c r="B49" s="80" t="s">
        <v>158</v>
      </c>
      <c r="C49" s="79" t="s">
        <v>156</v>
      </c>
      <c r="D49" s="80" t="s">
        <v>180</v>
      </c>
      <c r="E49" s="80">
        <v>44351</v>
      </c>
      <c r="F49" s="79">
        <v>147</v>
      </c>
      <c r="G49" s="80">
        <v>42782</v>
      </c>
      <c r="H49" s="81">
        <v>64</v>
      </c>
      <c r="I49" s="81">
        <v>1</v>
      </c>
      <c r="J49" s="80">
        <v>42052</v>
      </c>
      <c r="K49" s="81">
        <v>9407</v>
      </c>
      <c r="L49" s="79" t="s">
        <v>181</v>
      </c>
      <c r="M49" s="81">
        <v>30</v>
      </c>
      <c r="N49" s="81">
        <v>6</v>
      </c>
      <c r="O49" s="82">
        <v>0.62</v>
      </c>
      <c r="P49" s="83">
        <v>1547</v>
      </c>
      <c r="Q49" s="82">
        <v>0.28000000000000003</v>
      </c>
      <c r="R49" s="83">
        <v>72</v>
      </c>
      <c r="S49" s="84">
        <v>979.3</v>
      </c>
      <c r="T49" s="84"/>
      <c r="U49" s="84">
        <v>3000</v>
      </c>
      <c r="V49" s="84"/>
      <c r="W49" s="82"/>
      <c r="X49" s="82"/>
      <c r="Y49" s="82"/>
      <c r="Z49" s="79">
        <v>3.3819648000483791</v>
      </c>
      <c r="AA49" s="85" t="s">
        <v>159</v>
      </c>
      <c r="AB49" s="89" t="str">
        <f>TEXT(TblDataSecond[[#This Row],[מספר זהות/ID]],"000000000")</f>
        <v>000012345</v>
      </c>
      <c r="AC49" s="89" t="str">
        <f>File2Name&amp;"_F_"&amp;INT(TblDataSecond[[#This Row],[NumRows]]/CountMax)+1&amp;"_"&amp;TblDataSecond[[#This Row],[PassWord]]&amp;".pdf"</f>
        <v>DataSecond_F_2_000012345.pdf</v>
      </c>
      <c r="AD49" s="89" t="e" cm="1">
        <f t="array" aca="1" ref="AD49" ca="1">MID(CELL("filename"),1,FIND("[",CELL("filename"))-1)&amp;"OutFiles\"</f>
        <v>#N/A</v>
      </c>
      <c r="AE49" s="89">
        <f>COUNTIFS($A$2:A49,TblDataSecond[[#This Row],[מספר זהות/ID]])</f>
        <v>30</v>
      </c>
      <c r="AQ49" s="63"/>
      <c r="AR49" s="63"/>
      <c r="AS49" s="63"/>
    </row>
    <row r="50" spans="1:45" x14ac:dyDescent="0.3">
      <c r="A50" s="88">
        <v>12345</v>
      </c>
      <c r="B50" s="80" t="s">
        <v>158</v>
      </c>
      <c r="C50" s="79" t="s">
        <v>156</v>
      </c>
      <c r="D50" s="80" t="s">
        <v>180</v>
      </c>
      <c r="E50" s="80">
        <v>44351</v>
      </c>
      <c r="F50" s="79">
        <v>148</v>
      </c>
      <c r="G50" s="80">
        <v>42782</v>
      </c>
      <c r="H50" s="81">
        <v>64</v>
      </c>
      <c r="I50" s="81">
        <v>1</v>
      </c>
      <c r="J50" s="80">
        <v>42053</v>
      </c>
      <c r="K50" s="81">
        <v>9471</v>
      </c>
      <c r="L50" s="79" t="s">
        <v>181</v>
      </c>
      <c r="M50" s="81">
        <v>30</v>
      </c>
      <c r="N50" s="81">
        <v>6</v>
      </c>
      <c r="O50" s="82">
        <v>0.62</v>
      </c>
      <c r="P50" s="83">
        <v>1548</v>
      </c>
      <c r="Q50" s="82">
        <v>0.28000000000000003</v>
      </c>
      <c r="R50" s="83">
        <v>73</v>
      </c>
      <c r="S50" s="84">
        <v>980.2</v>
      </c>
      <c r="T50" s="84"/>
      <c r="U50" s="84">
        <v>3000</v>
      </c>
      <c r="V50" s="84"/>
      <c r="W50" s="82"/>
      <c r="X50" s="82"/>
      <c r="Y50" s="82"/>
      <c r="Z50" s="79">
        <v>3.3819648000483791</v>
      </c>
      <c r="AA50" s="85" t="s">
        <v>159</v>
      </c>
      <c r="AB50" s="89" t="str">
        <f>TEXT(TblDataSecond[[#This Row],[מספר זהות/ID]],"000000000")</f>
        <v>000012345</v>
      </c>
      <c r="AC50" s="89" t="str">
        <f>File2Name&amp;"_F_"&amp;INT(TblDataSecond[[#This Row],[NumRows]]/CountMax)+1&amp;"_"&amp;TblDataSecond[[#This Row],[PassWord]]&amp;".pdf"</f>
        <v>DataSecond_F_2_000012345.pdf</v>
      </c>
      <c r="AD50" s="89" t="e" cm="1">
        <f t="array" aca="1" ref="AD50" ca="1">MID(CELL("filename"),1,FIND("[",CELL("filename"))-1)&amp;"OutFiles\"</f>
        <v>#N/A</v>
      </c>
      <c r="AE50" s="89">
        <f>COUNTIFS($A$2:A50,TblDataSecond[[#This Row],[מספר זהות/ID]])</f>
        <v>31</v>
      </c>
      <c r="AQ50" s="63"/>
      <c r="AR50" s="63"/>
      <c r="AS50" s="63"/>
    </row>
    <row r="51" spans="1:45" x14ac:dyDescent="0.3">
      <c r="A51" s="88">
        <v>12345</v>
      </c>
      <c r="B51" s="80" t="s">
        <v>158</v>
      </c>
      <c r="C51" s="79" t="s">
        <v>156</v>
      </c>
      <c r="D51" s="80" t="s">
        <v>180</v>
      </c>
      <c r="E51" s="80">
        <v>44351</v>
      </c>
      <c r="F51" s="79">
        <v>149</v>
      </c>
      <c r="G51" s="80">
        <v>42782</v>
      </c>
      <c r="H51" s="81">
        <v>64</v>
      </c>
      <c r="I51" s="81">
        <v>1</v>
      </c>
      <c r="J51" s="80">
        <v>42054</v>
      </c>
      <c r="K51" s="81">
        <v>9535</v>
      </c>
      <c r="L51" s="79" t="s">
        <v>181</v>
      </c>
      <c r="M51" s="81">
        <v>30</v>
      </c>
      <c r="N51" s="81">
        <v>6</v>
      </c>
      <c r="O51" s="82">
        <v>0.62</v>
      </c>
      <c r="P51" s="83">
        <v>1549</v>
      </c>
      <c r="Q51" s="82">
        <v>0.28000000000000003</v>
      </c>
      <c r="R51" s="83">
        <v>74</v>
      </c>
      <c r="S51" s="84">
        <v>981.1</v>
      </c>
      <c r="T51" s="84"/>
      <c r="U51" s="84">
        <v>3000</v>
      </c>
      <c r="V51" s="84"/>
      <c r="W51" s="82"/>
      <c r="X51" s="82"/>
      <c r="Y51" s="82"/>
      <c r="Z51" s="79">
        <v>3.3819648000483791</v>
      </c>
      <c r="AA51" s="85" t="s">
        <v>159</v>
      </c>
      <c r="AB51" s="89" t="str">
        <f>TEXT(TblDataSecond[[#This Row],[מספר זהות/ID]],"000000000")</f>
        <v>000012345</v>
      </c>
      <c r="AC51" s="89" t="str">
        <f>File2Name&amp;"_F_"&amp;INT(TblDataSecond[[#This Row],[NumRows]]/CountMax)+1&amp;"_"&amp;TblDataSecond[[#This Row],[PassWord]]&amp;".pdf"</f>
        <v>DataSecond_F_2_000012345.pdf</v>
      </c>
      <c r="AD51" s="89" t="e" cm="1">
        <f t="array" aca="1" ref="AD51" ca="1">MID(CELL("filename"),1,FIND("[",CELL("filename"))-1)&amp;"OutFiles\"</f>
        <v>#N/A</v>
      </c>
      <c r="AE51" s="89">
        <f>COUNTIFS($A$2:A51,TblDataSecond[[#This Row],[מספר זהות/ID]])</f>
        <v>32</v>
      </c>
      <c r="AQ51" s="63"/>
      <c r="AR51" s="63"/>
      <c r="AS51" s="63"/>
    </row>
    <row r="52" spans="1:45" x14ac:dyDescent="0.3">
      <c r="A52" s="88">
        <v>12345</v>
      </c>
      <c r="B52" s="80" t="s">
        <v>158</v>
      </c>
      <c r="C52" s="79" t="s">
        <v>156</v>
      </c>
      <c r="D52" s="80" t="s">
        <v>180</v>
      </c>
      <c r="E52" s="80">
        <v>44351</v>
      </c>
      <c r="F52" s="79">
        <v>150</v>
      </c>
      <c r="G52" s="80">
        <v>42782</v>
      </c>
      <c r="H52" s="81">
        <v>64</v>
      </c>
      <c r="I52" s="81">
        <v>1</v>
      </c>
      <c r="J52" s="80">
        <v>42055</v>
      </c>
      <c r="K52" s="81">
        <v>9599</v>
      </c>
      <c r="L52" s="79" t="s">
        <v>181</v>
      </c>
      <c r="M52" s="81">
        <v>30</v>
      </c>
      <c r="N52" s="81">
        <v>6</v>
      </c>
      <c r="O52" s="82">
        <v>0.62</v>
      </c>
      <c r="P52" s="83">
        <v>1550</v>
      </c>
      <c r="Q52" s="82">
        <v>0.28000000000000003</v>
      </c>
      <c r="R52" s="83">
        <v>75</v>
      </c>
      <c r="S52" s="84">
        <v>982</v>
      </c>
      <c r="T52" s="84"/>
      <c r="U52" s="84">
        <v>3000</v>
      </c>
      <c r="V52" s="84"/>
      <c r="W52" s="82"/>
      <c r="X52" s="82"/>
      <c r="Y52" s="82"/>
      <c r="Z52" s="79">
        <v>3.3819648000483791</v>
      </c>
      <c r="AA52" s="85" t="s">
        <v>159</v>
      </c>
      <c r="AB52" s="89" t="str">
        <f>TEXT(TblDataSecond[[#This Row],[מספר זהות/ID]],"000000000")</f>
        <v>000012345</v>
      </c>
      <c r="AC52" s="89" t="str">
        <f>File2Name&amp;"_F_"&amp;INT(TblDataSecond[[#This Row],[NumRows]]/CountMax)+1&amp;"_"&amp;TblDataSecond[[#This Row],[PassWord]]&amp;".pdf"</f>
        <v>DataSecond_F_2_000012345.pdf</v>
      </c>
      <c r="AD52" s="89" t="e" cm="1">
        <f t="array" aca="1" ref="AD52" ca="1">MID(CELL("filename"),1,FIND("[",CELL("filename"))-1)&amp;"OutFiles\"</f>
        <v>#N/A</v>
      </c>
      <c r="AE52" s="89">
        <f>COUNTIFS($A$2:A52,TblDataSecond[[#This Row],[מספר זהות/ID]])</f>
        <v>33</v>
      </c>
      <c r="AQ52" s="63"/>
      <c r="AR52" s="63"/>
      <c r="AS52" s="63"/>
    </row>
    <row r="53" spans="1:45" x14ac:dyDescent="0.3">
      <c r="A53" s="88">
        <v>12345</v>
      </c>
      <c r="B53" s="80" t="s">
        <v>158</v>
      </c>
      <c r="C53" s="79" t="s">
        <v>156</v>
      </c>
      <c r="D53" s="80" t="s">
        <v>180</v>
      </c>
      <c r="E53" s="80">
        <v>44351</v>
      </c>
      <c r="F53" s="79">
        <v>151</v>
      </c>
      <c r="G53" s="80">
        <v>42782</v>
      </c>
      <c r="H53" s="81">
        <v>64</v>
      </c>
      <c r="I53" s="81">
        <v>1</v>
      </c>
      <c r="J53" s="80">
        <v>42056</v>
      </c>
      <c r="K53" s="81">
        <v>9663</v>
      </c>
      <c r="L53" s="79" t="s">
        <v>181</v>
      </c>
      <c r="M53" s="81">
        <v>30</v>
      </c>
      <c r="N53" s="81">
        <v>6</v>
      </c>
      <c r="O53" s="82">
        <v>0.62</v>
      </c>
      <c r="P53" s="83">
        <v>1551</v>
      </c>
      <c r="Q53" s="82">
        <v>0.28000000000000003</v>
      </c>
      <c r="R53" s="83">
        <v>76</v>
      </c>
      <c r="S53" s="84">
        <v>982.9</v>
      </c>
      <c r="T53" s="84"/>
      <c r="U53" s="84">
        <v>3000</v>
      </c>
      <c r="V53" s="84"/>
      <c r="W53" s="82"/>
      <c r="X53" s="82"/>
      <c r="Y53" s="82"/>
      <c r="Z53" s="79">
        <v>3.3819648000483791</v>
      </c>
      <c r="AA53" s="85" t="s">
        <v>159</v>
      </c>
      <c r="AB53" s="89" t="str">
        <f>TEXT(TblDataSecond[[#This Row],[מספר זהות/ID]],"000000000")</f>
        <v>000012345</v>
      </c>
      <c r="AC53" s="89" t="str">
        <f>File2Name&amp;"_F_"&amp;INT(TblDataSecond[[#This Row],[NumRows]]/CountMax)+1&amp;"_"&amp;TblDataSecond[[#This Row],[PassWord]]&amp;".pdf"</f>
        <v>DataSecond_F_2_000012345.pdf</v>
      </c>
      <c r="AD53" s="89" t="e" cm="1">
        <f t="array" aca="1" ref="AD53" ca="1">MID(CELL("filename"),1,FIND("[",CELL("filename"))-1)&amp;"OutFiles\"</f>
        <v>#N/A</v>
      </c>
      <c r="AE53" s="89">
        <f>COUNTIFS($A$2:A53,TblDataSecond[[#This Row],[מספר זהות/ID]])</f>
        <v>34</v>
      </c>
      <c r="AQ53" s="63"/>
      <c r="AR53" s="63"/>
      <c r="AS53" s="63"/>
    </row>
    <row r="54" spans="1:45" x14ac:dyDescent="0.3">
      <c r="A54" s="88">
        <v>12345</v>
      </c>
      <c r="B54" s="80" t="s">
        <v>158</v>
      </c>
      <c r="C54" s="79" t="s">
        <v>156</v>
      </c>
      <c r="D54" s="80" t="s">
        <v>180</v>
      </c>
      <c r="E54" s="80">
        <v>44351</v>
      </c>
      <c r="F54" s="79">
        <v>152</v>
      </c>
      <c r="G54" s="80">
        <v>42782</v>
      </c>
      <c r="H54" s="81">
        <v>64</v>
      </c>
      <c r="I54" s="81">
        <v>1</v>
      </c>
      <c r="J54" s="80">
        <v>42057</v>
      </c>
      <c r="K54" s="81">
        <v>9727</v>
      </c>
      <c r="L54" s="79" t="s">
        <v>181</v>
      </c>
      <c r="M54" s="81">
        <v>30</v>
      </c>
      <c r="N54" s="81">
        <v>6</v>
      </c>
      <c r="O54" s="82">
        <v>0.62</v>
      </c>
      <c r="P54" s="83">
        <v>1552</v>
      </c>
      <c r="Q54" s="82">
        <v>0.28000000000000003</v>
      </c>
      <c r="R54" s="83">
        <v>77</v>
      </c>
      <c r="S54" s="84">
        <v>983.8</v>
      </c>
      <c r="T54" s="84"/>
      <c r="U54" s="84">
        <v>3000</v>
      </c>
      <c r="V54" s="84"/>
      <c r="W54" s="82"/>
      <c r="X54" s="82"/>
      <c r="Y54" s="82"/>
      <c r="Z54" s="79">
        <v>3.3819648000483791</v>
      </c>
      <c r="AA54" s="85" t="s">
        <v>159</v>
      </c>
      <c r="AB54" s="89" t="str">
        <f>TEXT(TblDataSecond[[#This Row],[מספר זהות/ID]],"000000000")</f>
        <v>000012345</v>
      </c>
      <c r="AC54" s="89" t="str">
        <f>File2Name&amp;"_F_"&amp;INT(TblDataSecond[[#This Row],[NumRows]]/CountMax)+1&amp;"_"&amp;TblDataSecond[[#This Row],[PassWord]]&amp;".pdf"</f>
        <v>DataSecond_F_2_000012345.pdf</v>
      </c>
      <c r="AD54" s="89" t="e" cm="1">
        <f t="array" aca="1" ref="AD54" ca="1">MID(CELL("filename"),1,FIND("[",CELL("filename"))-1)&amp;"OutFiles\"</f>
        <v>#N/A</v>
      </c>
      <c r="AE54" s="89">
        <f>COUNTIFS($A$2:A54,TblDataSecond[[#This Row],[מספר זהות/ID]])</f>
        <v>35</v>
      </c>
      <c r="AQ54" s="63"/>
      <c r="AR54" s="63"/>
      <c r="AS54" s="63"/>
    </row>
    <row r="55" spans="1:45" x14ac:dyDescent="0.3">
      <c r="A55" s="88">
        <v>12345</v>
      </c>
      <c r="B55" s="80" t="s">
        <v>158</v>
      </c>
      <c r="C55" s="79" t="s">
        <v>156</v>
      </c>
      <c r="D55" s="80" t="s">
        <v>180</v>
      </c>
      <c r="E55" s="80">
        <v>44351</v>
      </c>
      <c r="F55" s="79">
        <v>153</v>
      </c>
      <c r="G55" s="80">
        <v>42782</v>
      </c>
      <c r="H55" s="81">
        <v>64</v>
      </c>
      <c r="I55" s="81">
        <v>1</v>
      </c>
      <c r="J55" s="80">
        <v>42058</v>
      </c>
      <c r="K55" s="81">
        <v>9791</v>
      </c>
      <c r="L55" s="79" t="s">
        <v>181</v>
      </c>
      <c r="M55" s="81">
        <v>30</v>
      </c>
      <c r="N55" s="81">
        <v>6</v>
      </c>
      <c r="O55" s="82">
        <v>0.62</v>
      </c>
      <c r="P55" s="83">
        <v>1553</v>
      </c>
      <c r="Q55" s="82">
        <v>0.28000000000000003</v>
      </c>
      <c r="R55" s="83">
        <v>78</v>
      </c>
      <c r="S55" s="84">
        <v>984.7</v>
      </c>
      <c r="T55" s="84"/>
      <c r="U55" s="84">
        <v>3000</v>
      </c>
      <c r="V55" s="84"/>
      <c r="W55" s="82"/>
      <c r="X55" s="82"/>
      <c r="Y55" s="82"/>
      <c r="Z55" s="79">
        <v>3.3819648000483791</v>
      </c>
      <c r="AA55" s="85" t="s">
        <v>159</v>
      </c>
      <c r="AB55" s="89" t="str">
        <f>TEXT(TblDataSecond[[#This Row],[מספר זהות/ID]],"000000000")</f>
        <v>000012345</v>
      </c>
      <c r="AC55" s="89" t="str">
        <f>File2Name&amp;"_F_"&amp;INT(TblDataSecond[[#This Row],[NumRows]]/CountMax)+1&amp;"_"&amp;TblDataSecond[[#This Row],[PassWord]]&amp;".pdf"</f>
        <v>DataSecond_F_2_000012345.pdf</v>
      </c>
      <c r="AD55" s="89" t="e" cm="1">
        <f t="array" aca="1" ref="AD55" ca="1">MID(CELL("filename"),1,FIND("[",CELL("filename"))-1)&amp;"OutFiles\"</f>
        <v>#N/A</v>
      </c>
      <c r="AE55" s="89">
        <f>COUNTIFS($A$2:A55,TblDataSecond[[#This Row],[מספר זהות/ID]])</f>
        <v>36</v>
      </c>
      <c r="AQ55" s="63"/>
      <c r="AR55" s="63"/>
      <c r="AS55" s="63"/>
    </row>
    <row r="56" spans="1:45" x14ac:dyDescent="0.3">
      <c r="A56" s="88">
        <v>12345</v>
      </c>
      <c r="B56" s="80" t="s">
        <v>158</v>
      </c>
      <c r="C56" s="79" t="s">
        <v>156</v>
      </c>
      <c r="D56" s="80" t="s">
        <v>180</v>
      </c>
      <c r="E56" s="80">
        <v>44351</v>
      </c>
      <c r="F56" s="79">
        <v>154</v>
      </c>
      <c r="G56" s="80">
        <v>42782</v>
      </c>
      <c r="H56" s="81">
        <v>64</v>
      </c>
      <c r="I56" s="81">
        <v>1</v>
      </c>
      <c r="J56" s="80">
        <v>42059</v>
      </c>
      <c r="K56" s="81">
        <v>9855</v>
      </c>
      <c r="L56" s="79" t="s">
        <v>181</v>
      </c>
      <c r="M56" s="81">
        <v>30</v>
      </c>
      <c r="N56" s="81">
        <v>6</v>
      </c>
      <c r="O56" s="82">
        <v>0.62</v>
      </c>
      <c r="P56" s="83">
        <v>1554</v>
      </c>
      <c r="Q56" s="82">
        <v>0.28000000000000003</v>
      </c>
      <c r="R56" s="83">
        <v>79</v>
      </c>
      <c r="S56" s="84">
        <v>985.6</v>
      </c>
      <c r="T56" s="84"/>
      <c r="U56" s="84">
        <v>3000</v>
      </c>
      <c r="V56" s="84"/>
      <c r="W56" s="82"/>
      <c r="X56" s="82"/>
      <c r="Y56" s="82"/>
      <c r="Z56" s="79">
        <v>3.3819648000483791</v>
      </c>
      <c r="AA56" s="85" t="s">
        <v>159</v>
      </c>
      <c r="AB56" s="89" t="str">
        <f>TEXT(TblDataSecond[[#This Row],[מספר זהות/ID]],"000000000")</f>
        <v>000012345</v>
      </c>
      <c r="AC56" s="89" t="str">
        <f>File2Name&amp;"_F_"&amp;INT(TblDataSecond[[#This Row],[NumRows]]/CountMax)+1&amp;"_"&amp;TblDataSecond[[#This Row],[PassWord]]&amp;".pdf"</f>
        <v>DataSecond_F_2_000012345.pdf</v>
      </c>
      <c r="AD56" s="89" t="e" cm="1">
        <f t="array" aca="1" ref="AD56" ca="1">MID(CELL("filename"),1,FIND("[",CELL("filename"))-1)&amp;"OutFiles\"</f>
        <v>#N/A</v>
      </c>
      <c r="AE56" s="89">
        <f>COUNTIFS($A$2:A56,TblDataSecond[[#This Row],[מספר זהות/ID]])</f>
        <v>37</v>
      </c>
      <c r="AQ56" s="63"/>
      <c r="AR56" s="63"/>
      <c r="AS56" s="63"/>
    </row>
    <row r="57" spans="1:45" x14ac:dyDescent="0.3">
      <c r="A57" s="88">
        <v>12345</v>
      </c>
      <c r="B57" s="80" t="s">
        <v>158</v>
      </c>
      <c r="C57" s="79" t="s">
        <v>156</v>
      </c>
      <c r="D57" s="80" t="s">
        <v>180</v>
      </c>
      <c r="E57" s="80">
        <v>44351</v>
      </c>
      <c r="F57" s="79">
        <v>155</v>
      </c>
      <c r="G57" s="80">
        <v>42782</v>
      </c>
      <c r="H57" s="81">
        <v>64</v>
      </c>
      <c r="I57" s="81">
        <v>1</v>
      </c>
      <c r="J57" s="80">
        <v>42060</v>
      </c>
      <c r="K57" s="81">
        <v>9919</v>
      </c>
      <c r="L57" s="79" t="s">
        <v>181</v>
      </c>
      <c r="M57" s="81">
        <v>30</v>
      </c>
      <c r="N57" s="81">
        <v>6</v>
      </c>
      <c r="O57" s="82">
        <v>0.62</v>
      </c>
      <c r="P57" s="83">
        <v>1555</v>
      </c>
      <c r="Q57" s="82">
        <v>0.28000000000000003</v>
      </c>
      <c r="R57" s="83">
        <v>80</v>
      </c>
      <c r="S57" s="84">
        <v>986.5</v>
      </c>
      <c r="T57" s="84"/>
      <c r="U57" s="84">
        <v>3000</v>
      </c>
      <c r="V57" s="84"/>
      <c r="W57" s="82"/>
      <c r="X57" s="82"/>
      <c r="Y57" s="82"/>
      <c r="Z57" s="79">
        <v>3.3819648000483791</v>
      </c>
      <c r="AA57" s="85" t="s">
        <v>159</v>
      </c>
      <c r="AB57" s="89" t="str">
        <f>TEXT(TblDataSecond[[#This Row],[מספר זהות/ID]],"000000000")</f>
        <v>000012345</v>
      </c>
      <c r="AC57" s="89" t="str">
        <f>File2Name&amp;"_F_"&amp;INT(TblDataSecond[[#This Row],[NumRows]]/CountMax)+1&amp;"_"&amp;TblDataSecond[[#This Row],[PassWord]]&amp;".pdf"</f>
        <v>DataSecond_F_2_000012345.pdf</v>
      </c>
      <c r="AD57" s="89" t="e" cm="1">
        <f t="array" aca="1" ref="AD57" ca="1">MID(CELL("filename"),1,FIND("[",CELL("filename"))-1)&amp;"OutFiles\"</f>
        <v>#N/A</v>
      </c>
      <c r="AE57" s="89">
        <f>COUNTIFS($A$2:A57,TblDataSecond[[#This Row],[מספר זהות/ID]])</f>
        <v>38</v>
      </c>
      <c r="AQ57" s="63"/>
      <c r="AR57" s="63"/>
      <c r="AS57" s="63"/>
    </row>
    <row r="58" spans="1:45" x14ac:dyDescent="0.3">
      <c r="A58" s="88">
        <v>12345</v>
      </c>
      <c r="B58" s="80" t="s">
        <v>158</v>
      </c>
      <c r="C58" s="79" t="s">
        <v>156</v>
      </c>
      <c r="D58" s="80" t="s">
        <v>180</v>
      </c>
      <c r="E58" s="80">
        <v>44351</v>
      </c>
      <c r="F58" s="79">
        <v>156</v>
      </c>
      <c r="G58" s="80">
        <v>42782</v>
      </c>
      <c r="H58" s="81">
        <v>64</v>
      </c>
      <c r="I58" s="81">
        <v>1</v>
      </c>
      <c r="J58" s="80">
        <v>42061</v>
      </c>
      <c r="K58" s="81">
        <v>9983</v>
      </c>
      <c r="L58" s="79" t="s">
        <v>181</v>
      </c>
      <c r="M58" s="81">
        <v>30</v>
      </c>
      <c r="N58" s="81">
        <v>6</v>
      </c>
      <c r="O58" s="82">
        <v>0.62</v>
      </c>
      <c r="P58" s="83">
        <v>1556</v>
      </c>
      <c r="Q58" s="82">
        <v>0.28000000000000003</v>
      </c>
      <c r="R58" s="83">
        <v>81</v>
      </c>
      <c r="S58" s="84">
        <v>987.4</v>
      </c>
      <c r="T58" s="84"/>
      <c r="U58" s="84">
        <v>3000</v>
      </c>
      <c r="V58" s="84"/>
      <c r="W58" s="82"/>
      <c r="X58" s="82"/>
      <c r="Y58" s="82"/>
      <c r="Z58" s="79">
        <v>3.3819648000483791</v>
      </c>
      <c r="AA58" s="85" t="s">
        <v>159</v>
      </c>
      <c r="AB58" s="89" t="str">
        <f>TEXT(TblDataSecond[[#This Row],[מספר זהות/ID]],"000000000")</f>
        <v>000012345</v>
      </c>
      <c r="AC58" s="89" t="str">
        <f>File2Name&amp;"_F_"&amp;INT(TblDataSecond[[#This Row],[NumRows]]/CountMax)+1&amp;"_"&amp;TblDataSecond[[#This Row],[PassWord]]&amp;".pdf"</f>
        <v>DataSecond_F_2_000012345.pdf</v>
      </c>
      <c r="AD58" s="89" t="e" cm="1">
        <f t="array" aca="1" ref="AD58" ca="1">MID(CELL("filename"),1,FIND("[",CELL("filename"))-1)&amp;"OutFiles\"</f>
        <v>#N/A</v>
      </c>
      <c r="AE58" s="89">
        <f>COUNTIFS($A$2:A58,TblDataSecond[[#This Row],[מספר זהות/ID]])</f>
        <v>39</v>
      </c>
      <c r="AQ58" s="63"/>
      <c r="AR58" s="63"/>
      <c r="AS58" s="63"/>
    </row>
    <row r="59" spans="1:45" x14ac:dyDescent="0.3">
      <c r="A59" s="88">
        <v>12345</v>
      </c>
      <c r="B59" s="80" t="s">
        <v>158</v>
      </c>
      <c r="C59" s="79" t="s">
        <v>156</v>
      </c>
      <c r="D59" s="80" t="s">
        <v>180</v>
      </c>
      <c r="E59" s="80">
        <v>44351</v>
      </c>
      <c r="F59" s="79">
        <v>157</v>
      </c>
      <c r="G59" s="80">
        <v>42782</v>
      </c>
      <c r="H59" s="81">
        <v>64</v>
      </c>
      <c r="I59" s="81">
        <v>1</v>
      </c>
      <c r="J59" s="80">
        <v>42062</v>
      </c>
      <c r="K59" s="81">
        <v>10047</v>
      </c>
      <c r="L59" s="79" t="s">
        <v>181</v>
      </c>
      <c r="M59" s="81">
        <v>30</v>
      </c>
      <c r="N59" s="81">
        <v>6</v>
      </c>
      <c r="O59" s="82">
        <v>0.62</v>
      </c>
      <c r="P59" s="83">
        <v>1557</v>
      </c>
      <c r="Q59" s="82">
        <v>0.28000000000000003</v>
      </c>
      <c r="R59" s="83">
        <v>82</v>
      </c>
      <c r="S59" s="84">
        <v>988.30000000000007</v>
      </c>
      <c r="T59" s="84"/>
      <c r="U59" s="84">
        <v>3000</v>
      </c>
      <c r="V59" s="84"/>
      <c r="W59" s="82"/>
      <c r="X59" s="82"/>
      <c r="Y59" s="82"/>
      <c r="Z59" s="79">
        <v>3.3819648000483791</v>
      </c>
      <c r="AA59" s="85" t="s">
        <v>159</v>
      </c>
      <c r="AB59" s="89" t="str">
        <f>TEXT(TblDataSecond[[#This Row],[מספר זהות/ID]],"000000000")</f>
        <v>000012345</v>
      </c>
      <c r="AC59" s="89" t="str">
        <f>File2Name&amp;"_F_"&amp;INT(TblDataSecond[[#This Row],[NumRows]]/CountMax)+1&amp;"_"&amp;TblDataSecond[[#This Row],[PassWord]]&amp;".pdf"</f>
        <v>DataSecond_F_2_000012345.pdf</v>
      </c>
      <c r="AD59" s="89" t="e" cm="1">
        <f t="array" aca="1" ref="AD59" ca="1">MID(CELL("filename"),1,FIND("[",CELL("filename"))-1)&amp;"OutFiles\"</f>
        <v>#N/A</v>
      </c>
      <c r="AE59" s="89">
        <f>COUNTIFS($A$2:A59,TblDataSecond[[#This Row],[מספר זהות/ID]])</f>
        <v>40</v>
      </c>
      <c r="AQ59" s="63"/>
      <c r="AR59" s="63"/>
      <c r="AS59" s="63"/>
    </row>
    <row r="60" spans="1:45" x14ac:dyDescent="0.3">
      <c r="A60" s="88">
        <v>12345</v>
      </c>
      <c r="B60" s="80" t="s">
        <v>158</v>
      </c>
      <c r="C60" s="79" t="s">
        <v>156</v>
      </c>
      <c r="D60" s="80" t="s">
        <v>180</v>
      </c>
      <c r="E60" s="80">
        <v>44351</v>
      </c>
      <c r="F60" s="79">
        <v>158</v>
      </c>
      <c r="G60" s="80">
        <v>42782</v>
      </c>
      <c r="H60" s="81">
        <v>64</v>
      </c>
      <c r="I60" s="81">
        <v>1</v>
      </c>
      <c r="J60" s="80">
        <v>42063</v>
      </c>
      <c r="K60" s="81">
        <v>10111</v>
      </c>
      <c r="L60" s="79" t="s">
        <v>181</v>
      </c>
      <c r="M60" s="81">
        <v>30</v>
      </c>
      <c r="N60" s="81">
        <v>6</v>
      </c>
      <c r="O60" s="82">
        <v>0.62</v>
      </c>
      <c r="P60" s="83">
        <v>1558</v>
      </c>
      <c r="Q60" s="82">
        <v>0.28000000000000003</v>
      </c>
      <c r="R60" s="83">
        <v>83</v>
      </c>
      <c r="S60" s="84">
        <v>989.2</v>
      </c>
      <c r="T60" s="84"/>
      <c r="U60" s="84">
        <v>3000</v>
      </c>
      <c r="V60" s="84"/>
      <c r="W60" s="82"/>
      <c r="X60" s="82"/>
      <c r="Y60" s="82"/>
      <c r="Z60" s="79">
        <v>3.3819648000483791</v>
      </c>
      <c r="AA60" s="85" t="s">
        <v>159</v>
      </c>
      <c r="AB60" s="89" t="str">
        <f>TEXT(TblDataSecond[[#This Row],[מספר זהות/ID]],"000000000")</f>
        <v>000012345</v>
      </c>
      <c r="AC60" s="89" t="str">
        <f>File2Name&amp;"_F_"&amp;INT(TblDataSecond[[#This Row],[NumRows]]/CountMax)+1&amp;"_"&amp;TblDataSecond[[#This Row],[PassWord]]&amp;".pdf"</f>
        <v>DataSecond_F_2_000012345.pdf</v>
      </c>
      <c r="AD60" s="89" t="e" cm="1">
        <f t="array" aca="1" ref="AD60" ca="1">MID(CELL("filename"),1,FIND("[",CELL("filename"))-1)&amp;"OutFiles\"</f>
        <v>#N/A</v>
      </c>
      <c r="AE60" s="89">
        <f>COUNTIFS($A$2:A60,TblDataSecond[[#This Row],[מספר זהות/ID]])</f>
        <v>41</v>
      </c>
      <c r="AQ60" s="63"/>
      <c r="AR60" s="63"/>
      <c r="AS60" s="63"/>
    </row>
    <row r="61" spans="1:45" x14ac:dyDescent="0.3">
      <c r="A61" s="88">
        <v>12345</v>
      </c>
      <c r="B61" s="80" t="s">
        <v>158</v>
      </c>
      <c r="C61" s="79" t="s">
        <v>156</v>
      </c>
      <c r="D61" s="80" t="s">
        <v>180</v>
      </c>
      <c r="E61" s="80">
        <v>44351</v>
      </c>
      <c r="F61" s="79">
        <v>159</v>
      </c>
      <c r="G61" s="80">
        <v>42782</v>
      </c>
      <c r="H61" s="81">
        <v>64</v>
      </c>
      <c r="I61" s="81">
        <v>1</v>
      </c>
      <c r="J61" s="80">
        <v>42064</v>
      </c>
      <c r="K61" s="81">
        <v>10175</v>
      </c>
      <c r="L61" s="79" t="s">
        <v>181</v>
      </c>
      <c r="M61" s="81">
        <v>30</v>
      </c>
      <c r="N61" s="81">
        <v>6</v>
      </c>
      <c r="O61" s="82">
        <v>0.62</v>
      </c>
      <c r="P61" s="83">
        <v>1559</v>
      </c>
      <c r="Q61" s="82">
        <v>0.28000000000000003</v>
      </c>
      <c r="R61" s="83">
        <v>84</v>
      </c>
      <c r="S61" s="84">
        <v>990.1</v>
      </c>
      <c r="T61" s="84"/>
      <c r="U61" s="84">
        <v>3000</v>
      </c>
      <c r="V61" s="84"/>
      <c r="W61" s="82"/>
      <c r="X61" s="82"/>
      <c r="Y61" s="82"/>
      <c r="Z61" s="79">
        <v>3.3819648000483791</v>
      </c>
      <c r="AA61" s="85" t="s">
        <v>159</v>
      </c>
      <c r="AB61" s="89" t="str">
        <f>TEXT(TblDataSecond[[#This Row],[מספר זהות/ID]],"000000000")</f>
        <v>000012345</v>
      </c>
      <c r="AC61" s="89" t="str">
        <f>File2Name&amp;"_F_"&amp;INT(TblDataSecond[[#This Row],[NumRows]]/CountMax)+1&amp;"_"&amp;TblDataSecond[[#This Row],[PassWord]]&amp;".pdf"</f>
        <v>DataSecond_F_2_000012345.pdf</v>
      </c>
      <c r="AD61" s="89" t="e" cm="1">
        <f t="array" aca="1" ref="AD61" ca="1">MID(CELL("filename"),1,FIND("[",CELL("filename"))-1)&amp;"OutFiles\"</f>
        <v>#N/A</v>
      </c>
      <c r="AE61" s="89">
        <f>COUNTIFS($A$2:A61,TblDataSecond[[#This Row],[מספר זהות/ID]])</f>
        <v>42</v>
      </c>
      <c r="AQ61" s="63"/>
      <c r="AR61" s="63"/>
      <c r="AS61" s="63"/>
    </row>
    <row r="62" spans="1:45" x14ac:dyDescent="0.3">
      <c r="A62" s="88">
        <v>12345</v>
      </c>
      <c r="B62" s="80" t="s">
        <v>158</v>
      </c>
      <c r="C62" s="79" t="s">
        <v>156</v>
      </c>
      <c r="D62" s="80" t="s">
        <v>180</v>
      </c>
      <c r="E62" s="80">
        <v>44351</v>
      </c>
      <c r="F62" s="79">
        <v>160</v>
      </c>
      <c r="G62" s="80">
        <v>42782</v>
      </c>
      <c r="H62" s="81">
        <v>64</v>
      </c>
      <c r="I62" s="81">
        <v>1</v>
      </c>
      <c r="J62" s="80">
        <v>42065</v>
      </c>
      <c r="K62" s="81">
        <v>10239</v>
      </c>
      <c r="L62" s="79" t="s">
        <v>181</v>
      </c>
      <c r="M62" s="81">
        <v>30</v>
      </c>
      <c r="N62" s="81">
        <v>6</v>
      </c>
      <c r="O62" s="82">
        <v>0.62</v>
      </c>
      <c r="P62" s="83">
        <v>1560</v>
      </c>
      <c r="Q62" s="82">
        <v>0.28000000000000003</v>
      </c>
      <c r="R62" s="83">
        <v>85</v>
      </c>
      <c r="S62" s="84">
        <v>991</v>
      </c>
      <c r="T62" s="84"/>
      <c r="U62" s="84">
        <v>3000</v>
      </c>
      <c r="V62" s="84"/>
      <c r="W62" s="82"/>
      <c r="X62" s="82"/>
      <c r="Y62" s="82"/>
      <c r="Z62" s="79">
        <v>3.3819648000483791</v>
      </c>
      <c r="AA62" s="85" t="s">
        <v>159</v>
      </c>
      <c r="AB62" s="89" t="str">
        <f>TEXT(TblDataSecond[[#This Row],[מספר זהות/ID]],"000000000")</f>
        <v>000012345</v>
      </c>
      <c r="AC62" s="89" t="str">
        <f>File2Name&amp;"_F_"&amp;INT(TblDataSecond[[#This Row],[NumRows]]/CountMax)+1&amp;"_"&amp;TblDataSecond[[#This Row],[PassWord]]&amp;".pdf"</f>
        <v>DataSecond_F_2_000012345.pdf</v>
      </c>
      <c r="AD62" s="89" t="e" cm="1">
        <f t="array" aca="1" ref="AD62" ca="1">MID(CELL("filename"),1,FIND("[",CELL("filename"))-1)&amp;"OutFiles\"</f>
        <v>#N/A</v>
      </c>
      <c r="AE62" s="89">
        <f>COUNTIFS($A$2:A62,TblDataSecond[[#This Row],[מספר זהות/ID]])</f>
        <v>43</v>
      </c>
      <c r="AQ62" s="63"/>
      <c r="AR62" s="63"/>
      <c r="AS62" s="63"/>
    </row>
    <row r="63" spans="1:45" x14ac:dyDescent="0.3">
      <c r="A63" s="88">
        <v>12345</v>
      </c>
      <c r="B63" s="80" t="s">
        <v>158</v>
      </c>
      <c r="C63" s="79" t="s">
        <v>156</v>
      </c>
      <c r="D63" s="80" t="s">
        <v>180</v>
      </c>
      <c r="E63" s="80">
        <v>44351</v>
      </c>
      <c r="F63" s="79">
        <v>161</v>
      </c>
      <c r="G63" s="80">
        <v>42782</v>
      </c>
      <c r="H63" s="81">
        <v>64</v>
      </c>
      <c r="I63" s="81">
        <v>1</v>
      </c>
      <c r="J63" s="80">
        <v>42066</v>
      </c>
      <c r="K63" s="81">
        <v>10303</v>
      </c>
      <c r="L63" s="79" t="s">
        <v>181</v>
      </c>
      <c r="M63" s="81">
        <v>30</v>
      </c>
      <c r="N63" s="81">
        <v>6</v>
      </c>
      <c r="O63" s="82">
        <v>0.62</v>
      </c>
      <c r="P63" s="83">
        <v>1561</v>
      </c>
      <c r="Q63" s="82">
        <v>0.28000000000000003</v>
      </c>
      <c r="R63" s="83">
        <v>86</v>
      </c>
      <c r="S63" s="84">
        <v>991.9</v>
      </c>
      <c r="T63" s="84"/>
      <c r="U63" s="84">
        <v>3000</v>
      </c>
      <c r="V63" s="84"/>
      <c r="W63" s="82"/>
      <c r="X63" s="82"/>
      <c r="Y63" s="82"/>
      <c r="Z63" s="79">
        <v>3.3819648000483791</v>
      </c>
      <c r="AA63" s="85" t="s">
        <v>159</v>
      </c>
      <c r="AB63" s="89" t="str">
        <f>TEXT(TblDataSecond[[#This Row],[מספר זהות/ID]],"000000000")</f>
        <v>000012345</v>
      </c>
      <c r="AC63" s="89" t="str">
        <f>File2Name&amp;"_F_"&amp;INT(TblDataSecond[[#This Row],[NumRows]]/CountMax)+1&amp;"_"&amp;TblDataSecond[[#This Row],[PassWord]]&amp;".pdf"</f>
        <v>DataSecond_F_2_000012345.pdf</v>
      </c>
      <c r="AD63" s="89" t="e" cm="1">
        <f t="array" aca="1" ref="AD63" ca="1">MID(CELL("filename"),1,FIND("[",CELL("filename"))-1)&amp;"OutFiles\"</f>
        <v>#N/A</v>
      </c>
      <c r="AE63" s="89">
        <f>COUNTIFS($A$2:A63,TblDataSecond[[#This Row],[מספר זהות/ID]])</f>
        <v>44</v>
      </c>
      <c r="AQ63" s="63"/>
      <c r="AR63" s="63"/>
      <c r="AS63" s="63"/>
    </row>
    <row r="64" spans="1:45" x14ac:dyDescent="0.3">
      <c r="A64" s="88">
        <v>12345</v>
      </c>
      <c r="B64" s="80" t="s">
        <v>158</v>
      </c>
      <c r="C64" s="79" t="s">
        <v>156</v>
      </c>
      <c r="D64" s="80" t="s">
        <v>180</v>
      </c>
      <c r="E64" s="80">
        <v>44351</v>
      </c>
      <c r="F64" s="79">
        <v>162</v>
      </c>
      <c r="G64" s="80">
        <v>42782</v>
      </c>
      <c r="H64" s="81">
        <v>64</v>
      </c>
      <c r="I64" s="81">
        <v>1</v>
      </c>
      <c r="J64" s="80">
        <v>42067</v>
      </c>
      <c r="K64" s="81">
        <v>10367</v>
      </c>
      <c r="L64" s="79" t="s">
        <v>181</v>
      </c>
      <c r="M64" s="81">
        <v>30</v>
      </c>
      <c r="N64" s="81">
        <v>6</v>
      </c>
      <c r="O64" s="82">
        <v>0.62</v>
      </c>
      <c r="P64" s="83">
        <v>1562</v>
      </c>
      <c r="Q64" s="82">
        <v>0.28000000000000003</v>
      </c>
      <c r="R64" s="83">
        <v>87</v>
      </c>
      <c r="S64" s="84">
        <v>992.8</v>
      </c>
      <c r="T64" s="84"/>
      <c r="U64" s="84">
        <v>3000</v>
      </c>
      <c r="V64" s="84"/>
      <c r="W64" s="82"/>
      <c r="X64" s="82"/>
      <c r="Y64" s="82"/>
      <c r="Z64" s="79">
        <v>3.3819648000483791</v>
      </c>
      <c r="AA64" s="85" t="s">
        <v>159</v>
      </c>
      <c r="AB64" s="89" t="str">
        <f>TEXT(TblDataSecond[[#This Row],[מספר זהות/ID]],"000000000")</f>
        <v>000012345</v>
      </c>
      <c r="AC64" s="89" t="str">
        <f>File2Name&amp;"_F_"&amp;INT(TblDataSecond[[#This Row],[NumRows]]/CountMax)+1&amp;"_"&amp;TblDataSecond[[#This Row],[PassWord]]&amp;".pdf"</f>
        <v>DataSecond_F_2_000012345.pdf</v>
      </c>
      <c r="AD64" s="89" t="e" cm="1">
        <f t="array" aca="1" ref="AD64" ca="1">MID(CELL("filename"),1,FIND("[",CELL("filename"))-1)&amp;"OutFiles\"</f>
        <v>#N/A</v>
      </c>
      <c r="AE64" s="89">
        <f>COUNTIFS($A$2:A64,TblDataSecond[[#This Row],[מספר זהות/ID]])</f>
        <v>45</v>
      </c>
      <c r="AQ64" s="63"/>
      <c r="AR64" s="63"/>
      <c r="AS64" s="63"/>
    </row>
    <row r="65" spans="1:31" x14ac:dyDescent="0.3">
      <c r="A65" s="88">
        <v>12345</v>
      </c>
      <c r="B65" s="80" t="s">
        <v>158</v>
      </c>
      <c r="C65" s="79" t="s">
        <v>156</v>
      </c>
      <c r="D65" s="80" t="s">
        <v>180</v>
      </c>
      <c r="E65" s="80">
        <v>44351</v>
      </c>
      <c r="F65" s="79">
        <v>163</v>
      </c>
      <c r="G65" s="80">
        <v>42782</v>
      </c>
      <c r="H65" s="81">
        <v>64</v>
      </c>
      <c r="I65" s="81">
        <v>1</v>
      </c>
      <c r="J65" s="80">
        <v>42068</v>
      </c>
      <c r="K65" s="81">
        <v>10431</v>
      </c>
      <c r="L65" s="79" t="s">
        <v>181</v>
      </c>
      <c r="M65" s="81">
        <v>30</v>
      </c>
      <c r="N65" s="81">
        <v>6</v>
      </c>
      <c r="O65" s="82">
        <v>0.62</v>
      </c>
      <c r="P65" s="83">
        <v>1563</v>
      </c>
      <c r="Q65" s="82">
        <v>0.28000000000000003</v>
      </c>
      <c r="R65" s="83">
        <v>88</v>
      </c>
      <c r="S65" s="84">
        <v>993.69999999999993</v>
      </c>
      <c r="T65" s="84"/>
      <c r="U65" s="84">
        <v>3000</v>
      </c>
      <c r="V65" s="84"/>
      <c r="W65" s="82"/>
      <c r="X65" s="82"/>
      <c r="Y65" s="82"/>
      <c r="Z65" s="79">
        <v>3.4220000000000002</v>
      </c>
      <c r="AA65" s="85" t="s">
        <v>159</v>
      </c>
      <c r="AB65" s="89" t="str">
        <f>TEXT(TblDataSecond[[#This Row],[מספר זהות/ID]],"000000000")</f>
        <v>000012345</v>
      </c>
      <c r="AC65" s="89" t="str">
        <f>File2Name&amp;"_F_"&amp;INT(TblDataSecond[[#This Row],[NumRows]]/CountMax)+1&amp;"_"&amp;TblDataSecond[[#This Row],[PassWord]]&amp;".pdf"</f>
        <v>DataSecond_F_2_000012345.pdf</v>
      </c>
      <c r="AD65" s="89" t="e" cm="1">
        <f t="array" aca="1" ref="AD65" ca="1">MID(CELL("filename"),1,FIND("[",CELL("filename"))-1)&amp;"OutFiles\"</f>
        <v>#N/A</v>
      </c>
      <c r="AE65" s="89">
        <f>COUNTIFS($A$2:A65,TblDataSecond[[#This Row],[מספר זהות/ID]])</f>
        <v>46</v>
      </c>
    </row>
    <row r="66" spans="1:31" x14ac:dyDescent="0.3">
      <c r="A66" s="88">
        <v>12345</v>
      </c>
      <c r="B66" s="80" t="s">
        <v>158</v>
      </c>
      <c r="C66" s="79" t="s">
        <v>156</v>
      </c>
      <c r="D66" s="80" t="s">
        <v>180</v>
      </c>
      <c r="E66" s="80">
        <v>44351</v>
      </c>
      <c r="F66" s="79">
        <v>164</v>
      </c>
      <c r="G66" s="80">
        <v>43082</v>
      </c>
      <c r="H66" s="81">
        <v>64</v>
      </c>
      <c r="I66" s="81">
        <v>1</v>
      </c>
      <c r="J66" s="80">
        <v>42069</v>
      </c>
      <c r="K66" s="81">
        <v>10495</v>
      </c>
      <c r="L66" s="79" t="s">
        <v>181</v>
      </c>
      <c r="M66" s="81">
        <v>30</v>
      </c>
      <c r="N66" s="81">
        <v>6</v>
      </c>
      <c r="O66" s="82">
        <v>0.62</v>
      </c>
      <c r="P66" s="83">
        <v>1564</v>
      </c>
      <c r="Q66" s="82">
        <v>0.28000000000000003</v>
      </c>
      <c r="R66" s="83">
        <v>89</v>
      </c>
      <c r="S66" s="84">
        <v>994.59999999999991</v>
      </c>
      <c r="T66" s="84"/>
      <c r="U66" s="84">
        <v>3000</v>
      </c>
      <c r="V66" s="84"/>
      <c r="W66" s="82"/>
      <c r="X66" s="82"/>
      <c r="Y66" s="82"/>
      <c r="Z66" s="79">
        <v>3.4312758039810274</v>
      </c>
      <c r="AA66" s="85" t="s">
        <v>159</v>
      </c>
      <c r="AB66" s="89" t="str">
        <f>TEXT(TblDataSecond[[#This Row],[מספר זהות/ID]],"000000000")</f>
        <v>000012345</v>
      </c>
      <c r="AC66" s="89" t="str">
        <f>File2Name&amp;"_F_"&amp;INT(TblDataSecond[[#This Row],[NumRows]]/CountMax)+1&amp;"_"&amp;TblDataSecond[[#This Row],[PassWord]]&amp;".pdf"</f>
        <v>DataSecond_F_2_000012345.pdf</v>
      </c>
      <c r="AD66" s="89" t="e" cm="1">
        <f t="array" aca="1" ref="AD66" ca="1">MID(CELL("filename"),1,FIND("[",CELL("filename"))-1)&amp;"OutFiles\"</f>
        <v>#N/A</v>
      </c>
      <c r="AE66" s="89">
        <f>COUNTIFS($A$2:A66,TblDataSecond[[#This Row],[מספר זהות/ID]])</f>
        <v>47</v>
      </c>
    </row>
    <row r="67" spans="1:31" x14ac:dyDescent="0.3">
      <c r="A67" s="88">
        <v>12345</v>
      </c>
      <c r="B67" s="80" t="s">
        <v>158</v>
      </c>
      <c r="C67" s="79" t="s">
        <v>156</v>
      </c>
      <c r="D67" s="80" t="s">
        <v>180</v>
      </c>
      <c r="E67" s="80">
        <v>44351</v>
      </c>
      <c r="F67" s="79">
        <v>165</v>
      </c>
      <c r="G67" s="80">
        <v>43082</v>
      </c>
      <c r="H67" s="81">
        <v>64</v>
      </c>
      <c r="I67" s="81">
        <v>1</v>
      </c>
      <c r="J67" s="80">
        <v>42070</v>
      </c>
      <c r="K67" s="81">
        <v>10559</v>
      </c>
      <c r="L67" s="79" t="s">
        <v>181</v>
      </c>
      <c r="M67" s="81">
        <v>30</v>
      </c>
      <c r="N67" s="81">
        <v>6</v>
      </c>
      <c r="O67" s="82">
        <v>0.62</v>
      </c>
      <c r="P67" s="83">
        <v>1565</v>
      </c>
      <c r="Q67" s="82">
        <v>0.28000000000000003</v>
      </c>
      <c r="R67" s="83">
        <v>90</v>
      </c>
      <c r="S67" s="84">
        <v>995.5</v>
      </c>
      <c r="T67" s="84"/>
      <c r="U67" s="84">
        <v>3000</v>
      </c>
      <c r="V67" s="84"/>
      <c r="W67" s="82"/>
      <c r="X67" s="82"/>
      <c r="Y67" s="82"/>
      <c r="Z67" s="79">
        <v>3.4312758039810274</v>
      </c>
      <c r="AA67" s="85" t="s">
        <v>159</v>
      </c>
      <c r="AB67" s="89" t="str">
        <f>TEXT(TblDataSecond[[#This Row],[מספר זהות/ID]],"000000000")</f>
        <v>000012345</v>
      </c>
      <c r="AC67" s="89" t="str">
        <f>File2Name&amp;"_F_"&amp;INT(TblDataSecond[[#This Row],[NumRows]]/CountMax)+1&amp;"_"&amp;TblDataSecond[[#This Row],[PassWord]]&amp;".pdf"</f>
        <v>DataSecond_F_2_000012345.pdf</v>
      </c>
      <c r="AD67" s="89" t="e" cm="1">
        <f t="array" aca="1" ref="AD67" ca="1">MID(CELL("filename"),1,FIND("[",CELL("filename"))-1)&amp;"OutFiles\"</f>
        <v>#N/A</v>
      </c>
      <c r="AE67" s="89">
        <f>COUNTIFS($A$2:A67,TblDataSecond[[#This Row],[מספר זהות/ID]])</f>
        <v>48</v>
      </c>
    </row>
    <row r="68" spans="1:31" x14ac:dyDescent="0.3">
      <c r="A68" s="88">
        <v>12345</v>
      </c>
      <c r="B68" s="80" t="s">
        <v>158</v>
      </c>
      <c r="C68" s="79" t="s">
        <v>156</v>
      </c>
      <c r="D68" s="80" t="s">
        <v>180</v>
      </c>
      <c r="E68" s="80">
        <v>44351</v>
      </c>
      <c r="F68" s="79">
        <v>166</v>
      </c>
      <c r="G68" s="80">
        <v>43082</v>
      </c>
      <c r="H68" s="81">
        <v>64</v>
      </c>
      <c r="I68" s="81">
        <v>1</v>
      </c>
      <c r="J68" s="80">
        <v>42071</v>
      </c>
      <c r="K68" s="81">
        <v>10623</v>
      </c>
      <c r="L68" s="79" t="s">
        <v>181</v>
      </c>
      <c r="M68" s="81">
        <v>30</v>
      </c>
      <c r="N68" s="81">
        <v>6</v>
      </c>
      <c r="O68" s="82">
        <v>0.62</v>
      </c>
      <c r="P68" s="83">
        <v>1566</v>
      </c>
      <c r="Q68" s="82">
        <v>0.28000000000000003</v>
      </c>
      <c r="R68" s="83">
        <v>91</v>
      </c>
      <c r="S68" s="84">
        <v>996.4</v>
      </c>
      <c r="T68" s="84"/>
      <c r="U68" s="84">
        <v>3000</v>
      </c>
      <c r="V68" s="84"/>
      <c r="W68" s="82"/>
      <c r="X68" s="82"/>
      <c r="Y68" s="82"/>
      <c r="Z68" s="79">
        <v>3.4312758039810274</v>
      </c>
      <c r="AA68" s="85" t="s">
        <v>159</v>
      </c>
      <c r="AB68" s="89" t="str">
        <f>TEXT(TblDataSecond[[#This Row],[מספר זהות/ID]],"000000000")</f>
        <v>000012345</v>
      </c>
      <c r="AC68" s="89" t="str">
        <f>File2Name&amp;"_F_"&amp;INT(TblDataSecond[[#This Row],[NumRows]]/CountMax)+1&amp;"_"&amp;TblDataSecond[[#This Row],[PassWord]]&amp;".pdf"</f>
        <v>DataSecond_F_2_000012345.pdf</v>
      </c>
      <c r="AD68" s="89" t="e" cm="1">
        <f t="array" aca="1" ref="AD68" ca="1">MID(CELL("filename"),1,FIND("[",CELL("filename"))-1)&amp;"OutFiles\"</f>
        <v>#N/A</v>
      </c>
      <c r="AE68" s="89">
        <f>COUNTIFS($A$2:A68,TblDataSecond[[#This Row],[מספר זהות/ID]])</f>
        <v>49</v>
      </c>
    </row>
    <row r="69" spans="1:31" x14ac:dyDescent="0.3">
      <c r="A69" s="88">
        <v>12345</v>
      </c>
      <c r="B69" s="80" t="s">
        <v>158</v>
      </c>
      <c r="C69" s="79" t="s">
        <v>156</v>
      </c>
      <c r="D69" s="80" t="s">
        <v>180</v>
      </c>
      <c r="E69" s="80">
        <v>44351</v>
      </c>
      <c r="F69" s="79">
        <v>167</v>
      </c>
      <c r="G69" s="80">
        <v>43082</v>
      </c>
      <c r="H69" s="81">
        <v>64</v>
      </c>
      <c r="I69" s="81">
        <v>1</v>
      </c>
      <c r="J69" s="80">
        <v>42072</v>
      </c>
      <c r="K69" s="81">
        <v>10687</v>
      </c>
      <c r="L69" s="79" t="s">
        <v>181</v>
      </c>
      <c r="M69" s="81">
        <v>30</v>
      </c>
      <c r="N69" s="81">
        <v>6</v>
      </c>
      <c r="O69" s="82">
        <v>0.62</v>
      </c>
      <c r="P69" s="83">
        <v>1567</v>
      </c>
      <c r="Q69" s="82">
        <v>0.28000000000000003</v>
      </c>
      <c r="R69" s="83">
        <v>92</v>
      </c>
      <c r="S69" s="84">
        <v>997.3</v>
      </c>
      <c r="T69" s="84"/>
      <c r="U69" s="84">
        <v>3000</v>
      </c>
      <c r="V69" s="84"/>
      <c r="W69" s="82"/>
      <c r="X69" s="82"/>
      <c r="Y69" s="82"/>
      <c r="Z69" s="79">
        <v>3.4312758039810274</v>
      </c>
      <c r="AA69" s="85" t="s">
        <v>159</v>
      </c>
      <c r="AB69" s="89" t="str">
        <f>TEXT(TblDataSecond[[#This Row],[מספר זהות/ID]],"000000000")</f>
        <v>000012345</v>
      </c>
      <c r="AC69" s="89" t="str">
        <f>File2Name&amp;"_F_"&amp;INT(TblDataSecond[[#This Row],[NumRows]]/CountMax)+1&amp;"_"&amp;TblDataSecond[[#This Row],[PassWord]]&amp;".pdf"</f>
        <v>DataSecond_F_2_000012345.pdf</v>
      </c>
      <c r="AD69" s="89" t="e" cm="1">
        <f t="array" aca="1" ref="AD69" ca="1">MID(CELL("filename"),1,FIND("[",CELL("filename"))-1)&amp;"OutFiles\"</f>
        <v>#N/A</v>
      </c>
      <c r="AE69" s="89">
        <f>COUNTIFS($A$2:A69,TblDataSecond[[#This Row],[מספר זהות/ID]])</f>
        <v>50</v>
      </c>
    </row>
    <row r="70" spans="1:31" x14ac:dyDescent="0.3">
      <c r="A70" s="88">
        <v>12345</v>
      </c>
      <c r="B70" s="80" t="s">
        <v>158</v>
      </c>
      <c r="C70" s="79" t="s">
        <v>156</v>
      </c>
      <c r="D70" s="80" t="s">
        <v>180</v>
      </c>
      <c r="E70" s="80">
        <v>44351</v>
      </c>
      <c r="F70" s="79">
        <v>168</v>
      </c>
      <c r="G70" s="80">
        <v>43082</v>
      </c>
      <c r="H70" s="81">
        <v>64</v>
      </c>
      <c r="I70" s="81">
        <v>1</v>
      </c>
      <c r="J70" s="80">
        <v>42073</v>
      </c>
      <c r="K70" s="81">
        <v>10751</v>
      </c>
      <c r="L70" s="79" t="s">
        <v>181</v>
      </c>
      <c r="M70" s="81">
        <v>30</v>
      </c>
      <c r="N70" s="81">
        <v>6</v>
      </c>
      <c r="O70" s="82">
        <v>0.62</v>
      </c>
      <c r="P70" s="83">
        <v>1568</v>
      </c>
      <c r="Q70" s="82">
        <v>0.28000000000000003</v>
      </c>
      <c r="R70" s="83">
        <v>93</v>
      </c>
      <c r="S70" s="84">
        <v>998.19999999999993</v>
      </c>
      <c r="T70" s="84"/>
      <c r="U70" s="84">
        <v>3000</v>
      </c>
      <c r="V70" s="84"/>
      <c r="W70" s="82"/>
      <c r="X70" s="82"/>
      <c r="Y70" s="82"/>
      <c r="Z70" s="79">
        <v>3.3998070490753061</v>
      </c>
      <c r="AA70" s="85" t="s">
        <v>159</v>
      </c>
      <c r="AB70" s="89" t="str">
        <f>TEXT(TblDataSecond[[#This Row],[מספר זהות/ID]],"000000000")</f>
        <v>000012345</v>
      </c>
      <c r="AC70" s="89" t="str">
        <f>File2Name&amp;"_F_"&amp;INT(TblDataSecond[[#This Row],[NumRows]]/CountMax)+1&amp;"_"&amp;TblDataSecond[[#This Row],[PassWord]]&amp;".pdf"</f>
        <v>DataSecond_F_2_000012345.pdf</v>
      </c>
      <c r="AD70" s="89" t="e" cm="1">
        <f t="array" aca="1" ref="AD70" ca="1">MID(CELL("filename"),1,FIND("[",CELL("filename"))-1)&amp;"OutFiles\"</f>
        <v>#N/A</v>
      </c>
      <c r="AE70" s="89">
        <f>COUNTIFS($A$2:A70,TblDataSecond[[#This Row],[מספר זהות/ID]])</f>
        <v>51</v>
      </c>
    </row>
    <row r="71" spans="1:31" x14ac:dyDescent="0.3">
      <c r="A71" s="88">
        <v>12345</v>
      </c>
      <c r="B71" s="80" t="s">
        <v>158</v>
      </c>
      <c r="C71" s="79" t="s">
        <v>156</v>
      </c>
      <c r="D71" s="80" t="s">
        <v>180</v>
      </c>
      <c r="E71" s="80">
        <v>44351</v>
      </c>
      <c r="F71" s="79">
        <v>169</v>
      </c>
      <c r="G71" s="80">
        <v>43082</v>
      </c>
      <c r="H71" s="81">
        <v>64</v>
      </c>
      <c r="I71" s="81">
        <v>1</v>
      </c>
      <c r="J71" s="80">
        <v>42074</v>
      </c>
      <c r="K71" s="81">
        <v>10815</v>
      </c>
      <c r="L71" s="79" t="s">
        <v>181</v>
      </c>
      <c r="M71" s="81">
        <v>30</v>
      </c>
      <c r="N71" s="81">
        <v>6</v>
      </c>
      <c r="O71" s="82">
        <v>0.62</v>
      </c>
      <c r="P71" s="83">
        <v>1569</v>
      </c>
      <c r="Q71" s="82">
        <v>0.28000000000000003</v>
      </c>
      <c r="R71" s="83">
        <v>94</v>
      </c>
      <c r="S71" s="84">
        <v>999.1</v>
      </c>
      <c r="T71" s="84"/>
      <c r="U71" s="84">
        <v>3000</v>
      </c>
      <c r="V71" s="84"/>
      <c r="W71" s="82"/>
      <c r="X71" s="82"/>
      <c r="Y71" s="82"/>
      <c r="Z71" s="79">
        <v>3.3998070490753061</v>
      </c>
      <c r="AA71" s="85" t="s">
        <v>159</v>
      </c>
      <c r="AB71" s="89" t="str">
        <f>TEXT(TblDataSecond[[#This Row],[מספר זהות/ID]],"000000000")</f>
        <v>000012345</v>
      </c>
      <c r="AC71" s="89" t="str">
        <f>File2Name&amp;"_F_"&amp;INT(TblDataSecond[[#This Row],[NumRows]]/CountMax)+1&amp;"_"&amp;TblDataSecond[[#This Row],[PassWord]]&amp;".pdf"</f>
        <v>DataSecond_F_2_000012345.pdf</v>
      </c>
      <c r="AD71" s="89" t="e" cm="1">
        <f t="array" aca="1" ref="AD71" ca="1">MID(CELL("filename"),1,FIND("[",CELL("filename"))-1)&amp;"OutFiles\"</f>
        <v>#N/A</v>
      </c>
      <c r="AE71" s="89">
        <f>COUNTIFS($A$2:A71,TblDataSecond[[#This Row],[מספר זהות/ID]])</f>
        <v>52</v>
      </c>
    </row>
    <row r="72" spans="1:31" x14ac:dyDescent="0.3">
      <c r="A72" s="88">
        <v>12345</v>
      </c>
      <c r="B72" s="80" t="s">
        <v>158</v>
      </c>
      <c r="C72" s="79" t="s">
        <v>156</v>
      </c>
      <c r="D72" s="80" t="s">
        <v>180</v>
      </c>
      <c r="E72" s="80">
        <v>44351</v>
      </c>
      <c r="F72" s="79">
        <v>170</v>
      </c>
      <c r="G72" s="80">
        <v>43082</v>
      </c>
      <c r="H72" s="81">
        <v>64</v>
      </c>
      <c r="I72" s="81">
        <v>1</v>
      </c>
      <c r="J72" s="80">
        <v>42075</v>
      </c>
      <c r="K72" s="81">
        <v>10879</v>
      </c>
      <c r="L72" s="79" t="s">
        <v>181</v>
      </c>
      <c r="M72" s="81">
        <v>30</v>
      </c>
      <c r="N72" s="81">
        <v>6</v>
      </c>
      <c r="O72" s="82">
        <v>0.62</v>
      </c>
      <c r="P72" s="83">
        <v>1570</v>
      </c>
      <c r="Q72" s="82">
        <v>0.28000000000000003</v>
      </c>
      <c r="R72" s="83">
        <v>95</v>
      </c>
      <c r="S72" s="84">
        <v>1000</v>
      </c>
      <c r="T72" s="84"/>
      <c r="U72" s="84">
        <v>3000</v>
      </c>
      <c r="V72" s="84"/>
      <c r="W72" s="82"/>
      <c r="X72" s="82"/>
      <c r="Y72" s="82"/>
      <c r="Z72" s="79">
        <v>3.4020000000000001</v>
      </c>
      <c r="AA72" s="85" t="s">
        <v>159</v>
      </c>
      <c r="AB72" s="89" t="str">
        <f>TEXT(TblDataSecond[[#This Row],[מספר זהות/ID]],"000000000")</f>
        <v>000012345</v>
      </c>
      <c r="AC72" s="89" t="str">
        <f>File2Name&amp;"_F_"&amp;INT(TblDataSecond[[#This Row],[NumRows]]/CountMax)+1&amp;"_"&amp;TblDataSecond[[#This Row],[PassWord]]&amp;".pdf"</f>
        <v>DataSecond_F_2_000012345.pdf</v>
      </c>
      <c r="AD72" s="89" t="e" cm="1">
        <f t="array" aca="1" ref="AD72" ca="1">MID(CELL("filename"),1,FIND("[",CELL("filename"))-1)&amp;"OutFiles\"</f>
        <v>#N/A</v>
      </c>
      <c r="AE72" s="89">
        <f>COUNTIFS($A$2:A72,TblDataSecond[[#This Row],[מספר זהות/ID]])</f>
        <v>53</v>
      </c>
    </row>
    <row r="73" spans="1:31" x14ac:dyDescent="0.3">
      <c r="A73" s="88">
        <v>12345</v>
      </c>
      <c r="B73" s="80" t="s">
        <v>158</v>
      </c>
      <c r="C73" s="79" t="s">
        <v>156</v>
      </c>
      <c r="D73" s="80" t="s">
        <v>180</v>
      </c>
      <c r="E73" s="80">
        <v>44351</v>
      </c>
      <c r="F73" s="79">
        <v>171</v>
      </c>
      <c r="G73" s="80">
        <v>43082</v>
      </c>
      <c r="H73" s="81">
        <v>64</v>
      </c>
      <c r="I73" s="81">
        <v>1</v>
      </c>
      <c r="J73" s="80">
        <v>42076</v>
      </c>
      <c r="K73" s="81">
        <v>10943</v>
      </c>
      <c r="L73" s="79" t="s">
        <v>181</v>
      </c>
      <c r="M73" s="81">
        <v>30</v>
      </c>
      <c r="N73" s="81">
        <v>6</v>
      </c>
      <c r="O73" s="82">
        <v>0.62</v>
      </c>
      <c r="P73" s="83">
        <v>1571</v>
      </c>
      <c r="Q73" s="82">
        <v>0.28000000000000003</v>
      </c>
      <c r="R73" s="83">
        <v>96</v>
      </c>
      <c r="S73" s="84">
        <v>1000.9</v>
      </c>
      <c r="T73" s="84"/>
      <c r="U73" s="84">
        <v>3000</v>
      </c>
      <c r="V73" s="84"/>
      <c r="W73" s="82"/>
      <c r="X73" s="82"/>
      <c r="Y73" s="82"/>
      <c r="Z73" s="79">
        <v>3.3819648000483791</v>
      </c>
      <c r="AA73" s="85" t="s">
        <v>159</v>
      </c>
      <c r="AB73" s="89" t="str">
        <f>TEXT(TblDataSecond[[#This Row],[מספר זהות/ID]],"000000000")</f>
        <v>000012345</v>
      </c>
      <c r="AC73" s="89" t="str">
        <f>File2Name&amp;"_F_"&amp;INT(TblDataSecond[[#This Row],[NumRows]]/CountMax)+1&amp;"_"&amp;TblDataSecond[[#This Row],[PassWord]]&amp;".pdf"</f>
        <v>DataSecond_F_3_000012345.pdf</v>
      </c>
      <c r="AD73" s="89" t="e" cm="1">
        <f t="array" aca="1" ref="AD73" ca="1">MID(CELL("filename"),1,FIND("[",CELL("filename"))-1)&amp;"OutFiles\"</f>
        <v>#N/A</v>
      </c>
      <c r="AE73" s="89">
        <f>COUNTIFS($A$2:A73,TblDataSecond[[#This Row],[מספר זהות/ID]])</f>
        <v>54</v>
      </c>
    </row>
    <row r="74" spans="1:31" x14ac:dyDescent="0.3">
      <c r="A74" s="88">
        <v>12345</v>
      </c>
      <c r="B74" s="80" t="s">
        <v>158</v>
      </c>
      <c r="C74" s="79" t="s">
        <v>156</v>
      </c>
      <c r="D74" s="80" t="s">
        <v>180</v>
      </c>
      <c r="E74" s="80">
        <v>44351</v>
      </c>
      <c r="F74" s="79">
        <v>172</v>
      </c>
      <c r="G74" s="80">
        <v>43082</v>
      </c>
      <c r="H74" s="81">
        <v>64</v>
      </c>
      <c r="I74" s="81">
        <v>1</v>
      </c>
      <c r="J74" s="80">
        <v>42077</v>
      </c>
      <c r="K74" s="81">
        <v>11007</v>
      </c>
      <c r="L74" s="79" t="s">
        <v>181</v>
      </c>
      <c r="M74" s="81">
        <v>30</v>
      </c>
      <c r="N74" s="81">
        <v>6</v>
      </c>
      <c r="O74" s="82">
        <v>0.62</v>
      </c>
      <c r="P74" s="83">
        <v>1572</v>
      </c>
      <c r="Q74" s="82">
        <v>0.28000000000000003</v>
      </c>
      <c r="R74" s="83">
        <v>97</v>
      </c>
      <c r="S74" s="84">
        <v>1001.8</v>
      </c>
      <c r="T74" s="84">
        <v>22</v>
      </c>
      <c r="U74" s="84">
        <v>3000</v>
      </c>
      <c r="V74" s="84"/>
      <c r="W74" s="82"/>
      <c r="X74" s="82"/>
      <c r="Y74" s="82"/>
      <c r="Z74" s="79">
        <v>3.3819648000483791</v>
      </c>
      <c r="AA74" s="85" t="s">
        <v>159</v>
      </c>
      <c r="AB74" s="89" t="str">
        <f>TEXT(TblDataSecond[[#This Row],[מספר זהות/ID]],"000000000")</f>
        <v>000012345</v>
      </c>
      <c r="AC74" s="89" t="str">
        <f>File2Name&amp;"_F_"&amp;INT(TblDataSecond[[#This Row],[NumRows]]/CountMax)+1&amp;"_"&amp;TblDataSecond[[#This Row],[PassWord]]&amp;".pdf"</f>
        <v>DataSecond_F_3_000012345.pdf</v>
      </c>
      <c r="AD74" s="89" t="e" cm="1">
        <f t="array" aca="1" ref="AD74" ca="1">MID(CELL("filename"),1,FIND("[",CELL("filename"))-1)&amp;"OutFiles\"</f>
        <v>#N/A</v>
      </c>
      <c r="AE74" s="89">
        <f>COUNTIFS($A$2:A74,TblDataSecond[[#This Row],[מספר זהות/ID]])</f>
        <v>55</v>
      </c>
    </row>
  </sheetData>
  <phoneticPr fontId="13" type="noConversion"/>
  <hyperlinks>
    <hyperlink ref="AA2" r:id="rId1" xr:uid="{1809956B-8EE5-437D-881F-D78DAB22C857}"/>
    <hyperlink ref="AA3:AA19" r:id="rId2" display="STASM@ESOP.CO.IL" xr:uid="{E1CC5297-CF92-4110-B140-B1617F8196DF}"/>
    <hyperlink ref="AA20" r:id="rId3" xr:uid="{78E68682-0727-46B4-BF2D-4173FC8B8A97}"/>
    <hyperlink ref="AA21:AA74" r:id="rId4" display="ANGELMT@WALLA.CO.IL" xr:uid="{55D9F961-2BF4-4732-8D02-6A616DB746BD}"/>
  </hyperlinks>
  <pageMargins left="0.7" right="0.7" top="0.75" bottom="0.75" header="0.3" footer="0.3"/>
  <pageSetup paperSize="9" orientation="portrait" r:id="rId5"/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EDBF2-ADC8-4225-AA63-840DAE674E60}">
  <sheetPr codeName="גיליון1">
    <tabColor rgb="FFFF0000"/>
  </sheetPr>
  <dimension ref="A1:A24"/>
  <sheetViews>
    <sheetView workbookViewId="0">
      <selection activeCell="A2" sqref="A2"/>
    </sheetView>
  </sheetViews>
  <sheetFormatPr defaultRowHeight="15.6" x14ac:dyDescent="0.3"/>
  <cols>
    <col min="1" max="1" width="11.8984375" bestFit="1" customWidth="1"/>
  </cols>
  <sheetData>
    <row r="1" spans="1:1" x14ac:dyDescent="0.3">
      <c r="A1" t="s">
        <v>105</v>
      </c>
    </row>
    <row r="2" spans="1:1" x14ac:dyDescent="0.3">
      <c r="A2">
        <v>12</v>
      </c>
    </row>
    <row r="3" spans="1:1" x14ac:dyDescent="0.3">
      <c r="A3">
        <v>9.8800000000000008</v>
      </c>
    </row>
    <row r="4" spans="1:1" x14ac:dyDescent="0.3">
      <c r="A4">
        <v>10.25</v>
      </c>
    </row>
    <row r="5" spans="1:1" x14ac:dyDescent="0.3">
      <c r="A5">
        <v>11.75</v>
      </c>
    </row>
    <row r="6" spans="1:1" x14ac:dyDescent="0.3">
      <c r="A6">
        <v>11.75</v>
      </c>
    </row>
    <row r="7" spans="1:1" x14ac:dyDescent="0.3">
      <c r="A7">
        <v>11.75</v>
      </c>
    </row>
    <row r="8" spans="1:1" x14ac:dyDescent="0.3">
      <c r="A8">
        <v>11.75</v>
      </c>
    </row>
    <row r="9" spans="1:1" x14ac:dyDescent="0.3">
      <c r="A9">
        <v>11.75</v>
      </c>
    </row>
    <row r="10" spans="1:1" x14ac:dyDescent="0.3">
      <c r="A10">
        <v>11.75</v>
      </c>
    </row>
    <row r="11" spans="1:1" x14ac:dyDescent="0.3">
      <c r="A11">
        <v>11.75</v>
      </c>
    </row>
    <row r="12" spans="1:1" x14ac:dyDescent="0.3">
      <c r="A12">
        <v>11.75</v>
      </c>
    </row>
    <row r="13" spans="1:1" x14ac:dyDescent="0.3">
      <c r="A13">
        <v>11.75</v>
      </c>
    </row>
    <row r="14" spans="1:1" x14ac:dyDescent="0.3">
      <c r="A14">
        <v>12.75</v>
      </c>
    </row>
    <row r="15" spans="1:1" x14ac:dyDescent="0.3">
      <c r="A15">
        <v>12.75</v>
      </c>
    </row>
    <row r="16" spans="1:1" x14ac:dyDescent="0.3">
      <c r="A16">
        <v>12.75</v>
      </c>
    </row>
    <row r="17" spans="1:1" x14ac:dyDescent="0.3">
      <c r="A17">
        <v>12.75</v>
      </c>
    </row>
    <row r="18" spans="1:1" x14ac:dyDescent="0.3">
      <c r="A18">
        <v>12.75</v>
      </c>
    </row>
    <row r="19" spans="1:1" x14ac:dyDescent="0.3">
      <c r="A19">
        <v>12.75</v>
      </c>
    </row>
    <row r="20" spans="1:1" x14ac:dyDescent="0.3">
      <c r="A20">
        <v>19.88</v>
      </c>
    </row>
    <row r="21" spans="1:1" x14ac:dyDescent="0.3">
      <c r="A21">
        <v>8.75</v>
      </c>
    </row>
    <row r="22" spans="1:1" x14ac:dyDescent="0.3">
      <c r="A22">
        <v>20.25</v>
      </c>
    </row>
    <row r="23" spans="1:1" x14ac:dyDescent="0.3">
      <c r="A23">
        <v>28.13</v>
      </c>
    </row>
    <row r="24" spans="1:1" x14ac:dyDescent="0.3">
      <c r="A24">
        <v>8.8800000000000008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E4735-4E96-4596-A9DB-E0ADAB8FBDEC}">
  <sheetPr codeName="גיליון6">
    <pageSetUpPr fitToPage="1"/>
  </sheetPr>
  <dimension ref="A11:X20"/>
  <sheetViews>
    <sheetView rightToLeft="1" view="pageBreakPreview" topLeftCell="F1" zoomScale="90" zoomScaleNormal="100" zoomScaleSheetLayoutView="90" workbookViewId="0">
      <selection activeCell="A11" sqref="A11"/>
    </sheetView>
  </sheetViews>
  <sheetFormatPr defaultRowHeight="15.6" x14ac:dyDescent="0.3"/>
  <cols>
    <col min="1" max="1" width="6" customWidth="1"/>
    <col min="2" max="2" width="13.3984375" customWidth="1"/>
    <col min="3" max="3" width="20.5" customWidth="1"/>
    <col min="4" max="4" width="9.3984375" customWidth="1"/>
    <col min="5" max="5" width="22.5" customWidth="1"/>
    <col min="6" max="6" width="28.69921875" customWidth="1"/>
    <col min="7" max="7" width="9.5" customWidth="1"/>
    <col min="8" max="8" width="12.3984375" customWidth="1"/>
    <col min="9" max="17" width="13.3984375" customWidth="1"/>
    <col min="18" max="19" width="7.5" customWidth="1"/>
    <col min="20" max="21" width="3" customWidth="1"/>
    <col min="22" max="23" width="13.3984375" customWidth="1"/>
  </cols>
  <sheetData>
    <row r="11" spans="1:24" ht="200.1" customHeight="1" thickBot="1" x14ac:dyDescent="0.35">
      <c r="A11" s="94" t="s">
        <v>166</v>
      </c>
      <c r="B11" s="94" t="s">
        <v>167</v>
      </c>
      <c r="C11" s="94" t="s">
        <v>140</v>
      </c>
      <c r="D11" s="94" t="s">
        <v>134</v>
      </c>
      <c r="E11" s="94" t="s">
        <v>135</v>
      </c>
      <c r="F11" s="94" t="s">
        <v>136</v>
      </c>
      <c r="G11" s="94" t="s">
        <v>137</v>
      </c>
      <c r="H11" s="94" t="s">
        <v>138</v>
      </c>
      <c r="I11" s="94" t="s">
        <v>168</v>
      </c>
      <c r="J11" s="94" t="s">
        <v>169</v>
      </c>
      <c r="K11" s="94" t="s">
        <v>170</v>
      </c>
      <c r="L11" s="94" t="s">
        <v>171</v>
      </c>
      <c r="M11" s="94" t="s">
        <v>172</v>
      </c>
      <c r="N11" s="94" t="s">
        <v>173</v>
      </c>
      <c r="O11" s="94" t="s">
        <v>174</v>
      </c>
      <c r="P11" s="94" t="s">
        <v>175</v>
      </c>
      <c r="Q11" s="94" t="s">
        <v>176</v>
      </c>
      <c r="R11" s="94" t="s">
        <v>177</v>
      </c>
      <c r="S11" s="94" t="s">
        <v>178</v>
      </c>
      <c r="T11" s="94" t="s">
        <v>179</v>
      </c>
      <c r="U11" s="94" t="s">
        <v>188</v>
      </c>
      <c r="V11" s="94" t="s">
        <v>189</v>
      </c>
      <c r="W11" s="94" t="s">
        <v>139</v>
      </c>
    </row>
    <row r="12" spans="1:24" ht="16.2" thickTop="1" x14ac:dyDescent="0.3">
      <c r="A12" s="80" t="s">
        <v>180</v>
      </c>
      <c r="B12" s="80">
        <v>44351</v>
      </c>
      <c r="C12" s="79">
        <v>144</v>
      </c>
      <c r="D12" s="80">
        <v>42782</v>
      </c>
      <c r="E12" s="81">
        <v>64</v>
      </c>
      <c r="F12" s="81">
        <v>1</v>
      </c>
      <c r="G12" s="80">
        <v>42049</v>
      </c>
      <c r="H12" s="81">
        <v>9215</v>
      </c>
      <c r="I12" s="79" t="s">
        <v>181</v>
      </c>
      <c r="J12" s="81">
        <v>30</v>
      </c>
      <c r="K12" s="81">
        <v>6</v>
      </c>
      <c r="L12" s="82">
        <v>0.62</v>
      </c>
      <c r="M12" s="83">
        <v>1544</v>
      </c>
      <c r="N12" s="82">
        <v>0.28000000000000003</v>
      </c>
      <c r="O12" s="83">
        <v>69</v>
      </c>
      <c r="P12" s="84">
        <v>976.6</v>
      </c>
      <c r="Q12" s="84"/>
      <c r="R12" s="84">
        <v>3000</v>
      </c>
      <c r="S12" s="84"/>
      <c r="T12" s="82"/>
      <c r="U12" s="82"/>
      <c r="V12" s="82"/>
      <c r="W12" s="79">
        <v>3.3998070490753061</v>
      </c>
    </row>
    <row r="13" spans="1:24" x14ac:dyDescent="0.3">
      <c r="A13" s="80" t="s">
        <v>180</v>
      </c>
      <c r="B13" s="80">
        <v>44351</v>
      </c>
      <c r="C13" s="79">
        <v>145</v>
      </c>
      <c r="D13" s="80">
        <v>42782</v>
      </c>
      <c r="E13" s="81">
        <v>64</v>
      </c>
      <c r="F13" s="81">
        <v>1</v>
      </c>
      <c r="G13" s="80">
        <v>42050</v>
      </c>
      <c r="H13" s="81">
        <v>9279</v>
      </c>
      <c r="I13" s="79" t="s">
        <v>181</v>
      </c>
      <c r="J13" s="81">
        <v>30</v>
      </c>
      <c r="K13" s="81">
        <v>6</v>
      </c>
      <c r="L13" s="82">
        <v>0.62</v>
      </c>
      <c r="M13" s="83">
        <v>1545</v>
      </c>
      <c r="N13" s="82">
        <v>0.28000000000000003</v>
      </c>
      <c r="O13" s="83">
        <v>70</v>
      </c>
      <c r="P13" s="84">
        <v>977.5</v>
      </c>
      <c r="Q13" s="84"/>
      <c r="R13" s="84">
        <v>3000</v>
      </c>
      <c r="S13" s="84"/>
      <c r="T13" s="82"/>
      <c r="U13" s="82"/>
      <c r="V13" s="82"/>
      <c r="W13" s="79">
        <v>3.4020000000000001</v>
      </c>
    </row>
    <row r="15" spans="1:24" ht="21" x14ac:dyDescent="0.4">
      <c r="V15" t="s">
        <v>158</v>
      </c>
      <c r="W15" s="69" t="s">
        <v>147</v>
      </c>
      <c r="X15" s="69"/>
    </row>
    <row r="16" spans="1:24" ht="21" x14ac:dyDescent="0.4">
      <c r="V16" t="s">
        <v>156</v>
      </c>
      <c r="W16" s="69" t="s">
        <v>148</v>
      </c>
      <c r="X16" s="69"/>
    </row>
    <row r="17" spans="21:24" ht="21" x14ac:dyDescent="0.4">
      <c r="V17">
        <v>12345</v>
      </c>
      <c r="W17" s="69" t="s">
        <v>149</v>
      </c>
      <c r="X17" s="69"/>
    </row>
    <row r="18" spans="21:24" ht="21" x14ac:dyDescent="0.4">
      <c r="W18" s="69"/>
      <c r="X18" s="69"/>
    </row>
    <row r="20" spans="21:24" ht="18" x14ac:dyDescent="0.35">
      <c r="U20" t="s">
        <v>92</v>
      </c>
      <c r="W20" s="70" t="s">
        <v>150</v>
      </c>
    </row>
  </sheetData>
  <dataConsolidate/>
  <pageMargins left="0.70866141732283472" right="0.70866141732283472" top="0.74803149606299213" bottom="0.74803149606299213" header="0.31496062992125984" footer="0.31496062992125984"/>
  <pageSetup paperSize="9" scale="41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4D6F9-6E39-4C8F-A2A7-3171C16B3312}">
  <sheetPr codeName="sheet100"/>
  <dimension ref="A1:S51"/>
  <sheetViews>
    <sheetView showGridLines="0" rightToLeft="1" zoomScaleNormal="100" workbookViewId="0">
      <selection activeCell="P16" sqref="P16"/>
    </sheetView>
  </sheetViews>
  <sheetFormatPr defaultRowHeight="15.6" x14ac:dyDescent="0.3"/>
  <cols>
    <col min="1" max="1" width="8" bestFit="1" customWidth="1"/>
    <col min="2" max="2" width="2.69921875" customWidth="1"/>
    <col min="3" max="3" width="14.5" bestFit="1" customWidth="1"/>
    <col min="4" max="4" width="16.5" bestFit="1" customWidth="1"/>
    <col min="5" max="5" width="29.5" bestFit="1" customWidth="1"/>
    <col min="6" max="6" width="14.5" bestFit="1" customWidth="1"/>
    <col min="7" max="7" width="28.5" bestFit="1" customWidth="1"/>
    <col min="8" max="8" width="21.69921875" customWidth="1"/>
    <col min="9" max="9" width="24.5" bestFit="1" customWidth="1"/>
    <col min="10" max="10" width="4" customWidth="1"/>
    <col min="11" max="11" width="29.5" bestFit="1" customWidth="1"/>
    <col min="12" max="12" width="26.09765625" customWidth="1"/>
    <col min="13" max="13" width="94.59765625" customWidth="1"/>
    <col min="14" max="14" width="21.59765625" bestFit="1" customWidth="1"/>
    <col min="15" max="15" width="4" customWidth="1"/>
    <col min="16" max="16" width="29.5" bestFit="1" customWidth="1"/>
    <col min="17" max="17" width="26.09765625" customWidth="1"/>
    <col min="18" max="18" width="79.09765625" customWidth="1"/>
    <col min="19" max="19" width="4" customWidth="1"/>
    <col min="20" max="20" width="13.5" bestFit="1" customWidth="1"/>
    <col min="22" max="22" width="15.69921875" bestFit="1" customWidth="1"/>
    <col min="23" max="23" width="16.19921875" bestFit="1" customWidth="1"/>
  </cols>
  <sheetData>
    <row r="1" spans="1:19" ht="99.75" customHeight="1" x14ac:dyDescent="0.5">
      <c r="A1" s="21" t="s">
        <v>34</v>
      </c>
      <c r="C1" t="s">
        <v>46</v>
      </c>
      <c r="D1" t="s">
        <v>49</v>
      </c>
      <c r="E1" s="6" t="s">
        <v>24</v>
      </c>
      <c r="F1" t="s">
        <v>27</v>
      </c>
      <c r="G1" s="61">
        <v>2</v>
      </c>
      <c r="H1" s="23"/>
      <c r="I1" s="6" t="s">
        <v>42</v>
      </c>
      <c r="J1" s="99" t="s">
        <v>91</v>
      </c>
      <c r="K1" s="99"/>
      <c r="L1" s="47"/>
      <c r="M1" s="48" t="str">
        <f ca="1">TEXT(Start!$B$4,"[$-040D]DD MMMM YYYY")</f>
        <v>02 אוגוסט 2021</v>
      </c>
      <c r="P1" s="99" t="s">
        <v>91</v>
      </c>
      <c r="Q1" s="99"/>
      <c r="R1" s="48" t="str">
        <f ca="1">TEXT(Start!$B$4,"[$-040D]DD MMMM YYYY")</f>
        <v>02 אוגוסט 2021</v>
      </c>
    </row>
    <row r="2" spans="1:19" ht="16.2" thickBot="1" x14ac:dyDescent="0.35">
      <c r="A2" s="22" t="s">
        <v>59</v>
      </c>
      <c r="C2" t="str">
        <f>Seif1</f>
        <v>אישור על העברת כספים בגין</v>
      </c>
      <c r="D2" t="str">
        <f>Seif1B&amp;" "&amp;Seif1D</f>
        <v>אריק אדלמן</v>
      </c>
      <c r="E2">
        <v>44221</v>
      </c>
      <c r="F2">
        <v>22875942</v>
      </c>
      <c r="G2" t="s">
        <v>70</v>
      </c>
      <c r="H2" t="s">
        <v>58</v>
      </c>
      <c r="I2">
        <v>1250</v>
      </c>
      <c r="J2" s="47"/>
      <c r="K2" s="49"/>
      <c r="L2" s="49"/>
      <c r="M2" s="49"/>
      <c r="P2" s="7"/>
      <c r="Q2" s="7"/>
      <c r="R2" s="7"/>
    </row>
    <row r="3" spans="1:19" x14ac:dyDescent="0.3">
      <c r="C3" s="10" t="s">
        <v>48</v>
      </c>
      <c r="D3" t="s">
        <v>65</v>
      </c>
      <c r="F3" s="6" t="s">
        <v>220</v>
      </c>
      <c r="G3" t="s">
        <v>78</v>
      </c>
      <c r="I3" s="41" t="s">
        <v>80</v>
      </c>
      <c r="J3" s="47"/>
      <c r="K3" s="47"/>
      <c r="L3" s="47"/>
      <c r="M3" s="47"/>
    </row>
    <row r="4" spans="1:19" ht="30" x14ac:dyDescent="0.3">
      <c r="C4" t="s">
        <v>72</v>
      </c>
      <c r="D4" t="str">
        <f>Seif0A</f>
        <v>יוסי אחזקות</v>
      </c>
      <c r="E4" t="s">
        <v>207</v>
      </c>
      <c r="F4" t="s">
        <v>15</v>
      </c>
      <c r="G4" t="s">
        <v>71</v>
      </c>
      <c r="I4" t="s">
        <v>45</v>
      </c>
      <c r="J4" s="47"/>
      <c r="K4" s="101" t="str">
        <f>$C$1&amp;MySpc&amp;$C$2&amp;MySpc&amp;Seif0A&amp;MySpc&amp;$C$3</f>
        <v>הנדון : אישור על העברת כספים בגין יוסי אחזקות ("החברה")</v>
      </c>
      <c r="L4" s="101"/>
      <c r="M4" s="101"/>
      <c r="P4" s="101" t="str">
        <f>$C$1&amp;MySpc&amp;$C$2&amp;MySpc&amp;Seif0A&amp;MySpc&amp;$C$3</f>
        <v>הנדון : אישור על העברת כספים בגין יוסי אחזקות ("החברה")</v>
      </c>
      <c r="Q4" s="101"/>
      <c r="R4" s="101"/>
    </row>
    <row r="5" spans="1:19" ht="30" x14ac:dyDescent="0.3">
      <c r="D5" t="s">
        <v>50</v>
      </c>
      <c r="E5" t="s">
        <v>69</v>
      </c>
      <c r="F5" s="6" t="s">
        <v>30</v>
      </c>
      <c r="I5" s="16"/>
      <c r="J5" s="47"/>
      <c r="K5" s="101" t="str">
        <f>$D$1&amp;MySpc&amp;$D$2&amp;MySpc&amp;$D$3&amp;MySpc&amp;TEXT(Seif1C,"000000000")</f>
        <v>עבור : אריק אדלמן ת.ז. 022875942</v>
      </c>
      <c r="L5" s="101"/>
      <c r="M5" s="101"/>
      <c r="P5" s="101" t="str">
        <f>$D$1&amp;MySpc&amp;$D$2&amp;MySpc&amp;$D$3&amp;MySpc&amp;TEXT(Seif1C,"000000000")</f>
        <v>עבור : אריק אדלמן ת.ז. 022875942</v>
      </c>
      <c r="Q5" s="101"/>
      <c r="R5" s="101"/>
    </row>
    <row r="6" spans="1:19" ht="16.5" customHeight="1" x14ac:dyDescent="0.55000000000000004">
      <c r="D6" t="s">
        <v>194</v>
      </c>
      <c r="F6" t="str">
        <f>Seif1</f>
        <v>אישור על העברת כספים בגין</v>
      </c>
      <c r="I6" t="s">
        <v>64</v>
      </c>
      <c r="J6" s="47"/>
      <c r="K6" s="47"/>
      <c r="L6" s="47"/>
      <c r="M6" s="47"/>
      <c r="P6" s="53"/>
      <c r="Q6" s="53"/>
      <c r="R6" s="53"/>
    </row>
    <row r="7" spans="1:19" ht="16.5" customHeight="1" x14ac:dyDescent="0.55000000000000004">
      <c r="D7" t="s">
        <v>52</v>
      </c>
      <c r="F7" t="s">
        <v>33</v>
      </c>
      <c r="I7" t="str">
        <f>Seif1D</f>
        <v>אדלמן</v>
      </c>
      <c r="J7" s="47"/>
      <c r="K7" s="47"/>
      <c r="L7" s="47"/>
      <c r="M7" s="47"/>
      <c r="P7" s="53"/>
      <c r="Q7" s="53"/>
      <c r="R7" s="53"/>
      <c r="S7" s="17"/>
    </row>
    <row r="8" spans="1:19" ht="30" x14ac:dyDescent="0.5">
      <c r="D8" t="s">
        <v>53</v>
      </c>
      <c r="E8" t="s">
        <v>77</v>
      </c>
      <c r="J8" s="100" t="s">
        <v>144</v>
      </c>
      <c r="K8" s="100"/>
      <c r="L8" s="100"/>
      <c r="M8" s="100"/>
      <c r="P8" s="100" t="s">
        <v>202</v>
      </c>
      <c r="Q8" s="100"/>
      <c r="R8" s="100"/>
    </row>
    <row r="9" spans="1:19" ht="24.9" customHeight="1" x14ac:dyDescent="0.5">
      <c r="D9" t="s">
        <v>74</v>
      </c>
      <c r="E9" s="25" t="s">
        <v>79</v>
      </c>
      <c r="J9" s="47"/>
      <c r="K9" s="47"/>
      <c r="L9" s="47"/>
      <c r="M9" s="47"/>
      <c r="P9" s="52"/>
      <c r="Q9" s="52"/>
      <c r="R9" s="52"/>
    </row>
    <row r="10" spans="1:19" ht="30" x14ac:dyDescent="0.5">
      <c r="D10" s="10" t="s">
        <v>75</v>
      </c>
      <c r="E10" s="4"/>
      <c r="F10" t="s">
        <v>37</v>
      </c>
      <c r="J10" s="47"/>
      <c r="K10" s="100" t="s">
        <v>145</v>
      </c>
      <c r="L10" s="100"/>
      <c r="M10" s="100"/>
      <c r="P10" s="100" t="s">
        <v>213</v>
      </c>
      <c r="Q10" s="100"/>
      <c r="R10" s="100"/>
    </row>
    <row r="11" spans="1:19" ht="24.9" customHeight="1" x14ac:dyDescent="0.5">
      <c r="D11" s="5" t="s">
        <v>205</v>
      </c>
      <c r="E11" s="4"/>
      <c r="F11" s="4" t="s">
        <v>223</v>
      </c>
      <c r="J11" s="47"/>
      <c r="K11" s="47"/>
      <c r="L11" s="47"/>
      <c r="M11" s="47"/>
      <c r="P11" s="52"/>
      <c r="Q11" s="52"/>
      <c r="R11" s="52"/>
    </row>
    <row r="12" spans="1:19" ht="30" x14ac:dyDescent="0.5">
      <c r="E12" s="4"/>
      <c r="F12" s="4"/>
      <c r="J12" s="47"/>
      <c r="K12" s="103" t="s">
        <v>226</v>
      </c>
      <c r="L12" s="99"/>
      <c r="M12" s="99"/>
      <c r="P12" s="100" t="s">
        <v>195</v>
      </c>
      <c r="Q12" s="100"/>
      <c r="R12" s="100"/>
    </row>
    <row r="13" spans="1:19" ht="24.9" customHeight="1" x14ac:dyDescent="0.5">
      <c r="E13" s="4"/>
      <c r="F13" s="4"/>
      <c r="J13" s="47"/>
      <c r="K13" s="47"/>
      <c r="L13" s="47"/>
      <c r="M13" s="47"/>
      <c r="P13" s="100"/>
      <c r="Q13" s="100"/>
      <c r="R13" s="100"/>
    </row>
    <row r="14" spans="1:19" ht="30" x14ac:dyDescent="0.5">
      <c r="E14" s="4"/>
      <c r="F14" s="4"/>
      <c r="J14" s="47"/>
      <c r="K14" s="99" t="s">
        <v>146</v>
      </c>
      <c r="L14" s="99"/>
      <c r="M14" s="99"/>
      <c r="P14" s="100" t="s">
        <v>196</v>
      </c>
      <c r="Q14" s="100"/>
      <c r="R14" s="100"/>
    </row>
    <row r="15" spans="1:19" ht="24.9" customHeight="1" x14ac:dyDescent="0.5">
      <c r="J15" s="47"/>
      <c r="K15" s="47"/>
      <c r="L15" s="47"/>
      <c r="M15" s="47"/>
      <c r="P15" s="100"/>
      <c r="Q15" s="100"/>
      <c r="R15" s="100"/>
    </row>
    <row r="16" spans="1:19" ht="30" x14ac:dyDescent="0.5">
      <c r="J16" s="47"/>
      <c r="K16" s="103" t="s">
        <v>198</v>
      </c>
      <c r="L16" s="100"/>
      <c r="M16" s="100"/>
      <c r="P16" s="100" t="s">
        <v>197</v>
      </c>
      <c r="Q16" s="100"/>
      <c r="R16" s="100"/>
    </row>
    <row r="17" spans="10:18" ht="24.9" customHeight="1" x14ac:dyDescent="0.3">
      <c r="J17" s="47"/>
      <c r="K17" s="46"/>
      <c r="L17" s="47"/>
      <c r="M17" s="47"/>
      <c r="P17" s="102"/>
      <c r="Q17" s="102"/>
      <c r="R17" s="102"/>
    </row>
    <row r="18" spans="10:18" ht="30" x14ac:dyDescent="0.5">
      <c r="J18" s="47"/>
      <c r="K18" s="99" t="s">
        <v>212</v>
      </c>
      <c r="L18" s="100"/>
      <c r="M18" s="100"/>
      <c r="P18" s="51" t="s">
        <v>96</v>
      </c>
    </row>
    <row r="19" spans="10:18" ht="24.9" customHeight="1" x14ac:dyDescent="0.5">
      <c r="J19" s="47"/>
      <c r="K19" s="46"/>
      <c r="L19" s="46"/>
      <c r="M19" s="46"/>
      <c r="P19" s="51" t="s">
        <v>95</v>
      </c>
    </row>
    <row r="20" spans="10:18" ht="30" x14ac:dyDescent="0.5">
      <c r="J20" s="47"/>
      <c r="K20" s="100" t="s">
        <v>141</v>
      </c>
      <c r="L20" s="100"/>
      <c r="M20" s="100"/>
      <c r="P20" s="45"/>
      <c r="Q20" s="45"/>
      <c r="R20" s="45"/>
    </row>
    <row r="21" spans="10:18" x14ac:dyDescent="0.3">
      <c r="J21" s="47"/>
      <c r="K21" s="50"/>
      <c r="L21" s="50"/>
      <c r="M21" s="47"/>
      <c r="P21" s="45"/>
      <c r="Q21" s="45"/>
      <c r="R21" s="45"/>
    </row>
    <row r="22" spans="10:18" ht="30" x14ac:dyDescent="0.5">
      <c r="J22" s="47"/>
      <c r="K22" s="100" t="s">
        <v>142</v>
      </c>
      <c r="L22" s="100"/>
      <c r="M22" s="100"/>
      <c r="P22" s="8"/>
      <c r="Q22" s="8"/>
      <c r="R22" s="8"/>
    </row>
    <row r="23" spans="10:18" ht="24.9" customHeight="1" x14ac:dyDescent="0.3">
      <c r="J23" s="47"/>
      <c r="K23" s="47"/>
      <c r="L23" s="47"/>
      <c r="M23" s="47"/>
    </row>
    <row r="24" spans="10:18" ht="30" x14ac:dyDescent="0.5">
      <c r="J24" s="47"/>
      <c r="K24" s="104" t="s">
        <v>201</v>
      </c>
      <c r="L24" s="100"/>
      <c r="M24" s="100"/>
    </row>
    <row r="25" spans="10:18" ht="24.9" customHeight="1" x14ac:dyDescent="0.3">
      <c r="J25" s="47"/>
      <c r="K25" s="47"/>
      <c r="L25" s="47"/>
      <c r="M25" s="47"/>
    </row>
    <row r="26" spans="10:18" ht="30" x14ac:dyDescent="0.5">
      <c r="J26" s="47"/>
      <c r="K26" s="100" t="s">
        <v>143</v>
      </c>
      <c r="L26" s="100"/>
      <c r="M26" s="100"/>
    </row>
    <row r="27" spans="10:18" x14ac:dyDescent="0.3">
      <c r="J27" s="47"/>
      <c r="K27" s="47"/>
      <c r="L27" s="47"/>
    </row>
    <row r="28" spans="10:18" ht="30" x14ac:dyDescent="0.5">
      <c r="M28" s="51" t="s">
        <v>132</v>
      </c>
    </row>
    <row r="29" spans="10:18" ht="30" x14ac:dyDescent="0.5">
      <c r="M29" s="51" t="s">
        <v>133</v>
      </c>
    </row>
    <row r="31" spans="10:18" x14ac:dyDescent="0.3">
      <c r="N31" s="7"/>
    </row>
    <row r="33" spans="14:14" x14ac:dyDescent="0.3">
      <c r="N33" s="11"/>
    </row>
    <row r="34" spans="14:14" x14ac:dyDescent="0.3">
      <c r="N34" s="11"/>
    </row>
    <row r="36" spans="14:14" x14ac:dyDescent="0.3">
      <c r="N36" s="5"/>
    </row>
    <row r="37" spans="14:14" x14ac:dyDescent="0.3">
      <c r="N37" s="5"/>
    </row>
    <row r="38" spans="14:14" x14ac:dyDescent="0.3">
      <c r="N38" s="5"/>
    </row>
    <row r="39" spans="14:14" x14ac:dyDescent="0.3">
      <c r="N39" s="6"/>
    </row>
    <row r="40" spans="14:14" x14ac:dyDescent="0.3">
      <c r="N40" s="5"/>
    </row>
    <row r="41" spans="14:14" x14ac:dyDescent="0.3">
      <c r="N41" s="5"/>
    </row>
    <row r="42" spans="14:14" x14ac:dyDescent="0.3">
      <c r="N42" s="5"/>
    </row>
    <row r="43" spans="14:14" x14ac:dyDescent="0.3">
      <c r="N43" s="5"/>
    </row>
    <row r="44" spans="14:14" x14ac:dyDescent="0.3">
      <c r="N44" s="5"/>
    </row>
    <row r="45" spans="14:14" x14ac:dyDescent="0.3">
      <c r="N45" s="5"/>
    </row>
    <row r="46" spans="14:14" x14ac:dyDescent="0.3">
      <c r="N46" s="5"/>
    </row>
    <row r="47" spans="14:14" x14ac:dyDescent="0.3">
      <c r="N47" s="6"/>
    </row>
    <row r="48" spans="14:14" x14ac:dyDescent="0.3">
      <c r="N48" s="6"/>
    </row>
    <row r="49" spans="11:18" x14ac:dyDescent="0.3">
      <c r="L49" s="5"/>
      <c r="M49" s="5"/>
      <c r="Q49" s="5"/>
      <c r="R49" s="5"/>
    </row>
    <row r="50" spans="11:18" x14ac:dyDescent="0.3">
      <c r="K50" s="6"/>
      <c r="L50" s="6"/>
      <c r="M50" s="6"/>
      <c r="N50" s="6"/>
      <c r="P50" s="8"/>
      <c r="Q50" s="8"/>
      <c r="R50" s="8"/>
    </row>
    <row r="51" spans="11:18" x14ac:dyDescent="0.3">
      <c r="L51" s="5"/>
      <c r="M51" s="6"/>
      <c r="Q51" s="5"/>
      <c r="R51" s="8"/>
    </row>
  </sheetData>
  <mergeCells count="24">
    <mergeCell ref="K16:M16"/>
    <mergeCell ref="K20:M20"/>
    <mergeCell ref="K24:M24"/>
    <mergeCell ref="K4:M4"/>
    <mergeCell ref="K5:M5"/>
    <mergeCell ref="K10:M10"/>
    <mergeCell ref="K12:M12"/>
    <mergeCell ref="K14:M14"/>
    <mergeCell ref="P1:Q1"/>
    <mergeCell ref="P12:R12"/>
    <mergeCell ref="P14:R14"/>
    <mergeCell ref="P16:R16"/>
    <mergeCell ref="K26:M26"/>
    <mergeCell ref="K18:M18"/>
    <mergeCell ref="K22:M22"/>
    <mergeCell ref="P8:R8"/>
    <mergeCell ref="P10:R10"/>
    <mergeCell ref="P4:R4"/>
    <mergeCell ref="P5:R5"/>
    <mergeCell ref="P13:R13"/>
    <mergeCell ref="P15:R15"/>
    <mergeCell ref="P17:R17"/>
    <mergeCell ref="J1:K1"/>
    <mergeCell ref="J8:M8"/>
  </mergeCells>
  <pageMargins left="0.7" right="0.7" top="0.75" bottom="0.75" header="0.3" footer="0.3"/>
  <pageSetup paperSize="9" scale="60" orientation="portrait" r:id="rId1"/>
  <colBreaks count="1" manualBreakCount="1">
    <brk id="16" max="47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0292F-3892-4C02-8708-15D1026F577F}">
  <sheetPr codeName="גיליון5">
    <pageSetUpPr fitToPage="1"/>
  </sheetPr>
  <dimension ref="A1:K1"/>
  <sheetViews>
    <sheetView rightToLeft="1" view="pageBreakPreview" zoomScale="60" zoomScaleNormal="100" workbookViewId="0">
      <selection activeCell="C53" sqref="C53"/>
    </sheetView>
  </sheetViews>
  <sheetFormatPr defaultColWidth="0" defaultRowHeight="15.6" x14ac:dyDescent="0.3"/>
  <cols>
    <col min="1" max="9" width="9" customWidth="1"/>
    <col min="10" max="10" width="55.8984375" customWidth="1"/>
    <col min="11" max="11" width="6" customWidth="1"/>
    <col min="12" max="16384" width="46.19921875" hidden="1"/>
  </cols>
  <sheetData/>
  <pageMargins left="0.70866141732283472" right="0.70866141732283472" top="0.74803149606299213" bottom="0.74803149606299213" header="0.31496062992125984" footer="0.31496062992125984"/>
  <pageSetup paperSize="9" scale="58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06A08-B98B-492A-B83A-D6B64A012AC6}">
  <sheetPr codeName="גיליון7"/>
  <dimension ref="I1:I11"/>
  <sheetViews>
    <sheetView workbookViewId="0">
      <selection activeCell="O3" sqref="O3"/>
    </sheetView>
  </sheetViews>
  <sheetFormatPr defaultRowHeight="15.6" x14ac:dyDescent="0.3"/>
  <sheetData>
    <row r="1" spans="9:9" x14ac:dyDescent="0.3">
      <c r="I1" t="s">
        <v>160</v>
      </c>
    </row>
    <row r="2" spans="9:9" x14ac:dyDescent="0.3">
      <c r="I2" t="s">
        <v>161</v>
      </c>
    </row>
    <row r="10" spans="9:9" x14ac:dyDescent="0.3">
      <c r="I10" t="s">
        <v>160</v>
      </c>
    </row>
    <row r="11" spans="9:9" x14ac:dyDescent="0.3">
      <c r="I11" t="s">
        <v>162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B1" sqref="B1"/>
    </sheetView>
  </sheetViews>
  <sheetFormatPr defaultColWidth="8.8984375" defaultRowHeight="15.6" x14ac:dyDescent="0.3"/>
  <cols>
    <col min="1" max="1" width="14.69921875" style="1" customWidth="1"/>
    <col min="2" max="2" width="44.5" style="1" bestFit="1" customWidth="1"/>
    <col min="3" max="16384" width="8.8984375" style="1"/>
  </cols>
  <sheetData>
    <row r="1" spans="1:2" x14ac:dyDescent="0.3">
      <c r="A1" s="1" t="s">
        <v>8</v>
      </c>
      <c r="B1" s="1" t="s">
        <v>14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12</v>
      </c>
      <c r="B9" s="1" t="b">
        <v>0</v>
      </c>
    </row>
    <row r="13" spans="1:2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13</v>
      </c>
    </row>
    <row r="16" spans="1:2" x14ac:dyDescent="0.3">
      <c r="A16" s="1" t="s">
        <v>6</v>
      </c>
    </row>
    <row r="17" spans="1:1" x14ac:dyDescent="0.3">
      <c r="A17" s="1" t="s">
        <v>11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84</vt:i4>
      </vt:variant>
    </vt:vector>
  </HeadingPairs>
  <TitlesOfParts>
    <vt:vector size="93" baseType="lpstr">
      <vt:lpstr>Start</vt:lpstr>
      <vt:lpstr>Clients Data Entry</vt:lpstr>
      <vt:lpstr>DataSecond</vt:lpstr>
      <vt:lpstr>EzerSecond</vt:lpstr>
      <vt:lpstr>OutDataSecond</vt:lpstr>
      <vt:lpstr>Pr</vt:lpstr>
      <vt:lpstr>PdfFile</vt:lpstr>
      <vt:lpstr>Pic</vt:lpstr>
      <vt:lpstr>xlwings.conf</vt:lpstr>
      <vt:lpstr>AreaTextOut</vt:lpstr>
      <vt:lpstr>AreaTextOut2</vt:lpstr>
      <vt:lpstr>AreaToCleanBold</vt:lpstr>
      <vt:lpstr>AreaToCleanBold2</vt:lpstr>
      <vt:lpstr>CountMax</vt:lpstr>
      <vt:lpstr>DataSecond!Criteria</vt:lpstr>
      <vt:lpstr>CrtDataSecond</vt:lpstr>
      <vt:lpstr>CrtStartTheAct</vt:lpstr>
      <vt:lpstr>EndMail</vt:lpstr>
      <vt:lpstr>EndMailName</vt:lpstr>
      <vt:lpstr>DataSecond!Extract</vt:lpstr>
      <vt:lpstr>OutDataSecond!Extract</vt:lpstr>
      <vt:lpstr>ExtStartTheAct</vt:lpstr>
      <vt:lpstr>ExtStartTheAct1</vt:lpstr>
      <vt:lpstr>File2Name</vt:lpstr>
      <vt:lpstr>FileNameDataSecond</vt:lpstr>
      <vt:lpstr>FnameLogo</vt:lpstr>
      <vt:lpstr>FontName</vt:lpstr>
      <vt:lpstr>FontSize</vt:lpstr>
      <vt:lpstr>Mail_Body_1</vt:lpstr>
      <vt:lpstr>Mail_Body_2</vt:lpstr>
      <vt:lpstr>Mail_Body_3</vt:lpstr>
      <vt:lpstr>Mail_Start</vt:lpstr>
      <vt:lpstr>MySpc</vt:lpstr>
      <vt:lpstr>NeemanNumber</vt:lpstr>
      <vt:lpstr>NeemanNumber1</vt:lpstr>
      <vt:lpstr>OutDataSecond!Print_Area</vt:lpstr>
      <vt:lpstr>PdfFile!Print_Area</vt:lpstr>
      <vt:lpstr>RemToRemSec</vt:lpstr>
      <vt:lpstr>rngDataSecond</vt:lpstr>
      <vt:lpstr>RngForMailRTLShow</vt:lpstr>
      <vt:lpstr>RngForMailSendrShow</vt:lpstr>
      <vt:lpstr>RowFive</vt:lpstr>
      <vt:lpstr>RowFiveB</vt:lpstr>
      <vt:lpstr>RowFiveE</vt:lpstr>
      <vt:lpstr>RowFour</vt:lpstr>
      <vt:lpstr>RowFourB</vt:lpstr>
      <vt:lpstr>RowFourE</vt:lpstr>
      <vt:lpstr>RowOne</vt:lpstr>
      <vt:lpstr>RowOneB</vt:lpstr>
      <vt:lpstr>RowSix</vt:lpstr>
      <vt:lpstr>RowSixE</vt:lpstr>
      <vt:lpstr>RowThree</vt:lpstr>
      <vt:lpstr>RowThreeB</vt:lpstr>
      <vt:lpstr>RowThreeE</vt:lpstr>
      <vt:lpstr>RowTwo</vt:lpstr>
      <vt:lpstr>RowTwoB</vt:lpstr>
      <vt:lpstr>SecFirstName</vt:lpstr>
      <vt:lpstr>SecId</vt:lpstr>
      <vt:lpstr>SecLastName</vt:lpstr>
      <vt:lpstr>Second_BodyMail1</vt:lpstr>
      <vt:lpstr>Second_BodyMail2</vt:lpstr>
      <vt:lpstr>Second_BodyMail3</vt:lpstr>
      <vt:lpstr>Second_BodyMail4</vt:lpstr>
      <vt:lpstr>Second_MarkMail1</vt:lpstr>
      <vt:lpstr>Second_MarkMail2</vt:lpstr>
      <vt:lpstr>Second_SubMail</vt:lpstr>
      <vt:lpstr>SecRem</vt:lpstr>
      <vt:lpstr>Seif0A</vt:lpstr>
      <vt:lpstr>Seif0B</vt:lpstr>
      <vt:lpstr>Seif1</vt:lpstr>
      <vt:lpstr>Seif1A</vt:lpstr>
      <vt:lpstr>Seif1B</vt:lpstr>
      <vt:lpstr>Seif1C</vt:lpstr>
      <vt:lpstr>Seif1D</vt:lpstr>
      <vt:lpstr>Seif1E</vt:lpstr>
      <vt:lpstr>Seif1F</vt:lpstr>
      <vt:lpstr>Seif1New</vt:lpstr>
      <vt:lpstr>Seif1WW</vt:lpstr>
      <vt:lpstr>Seif2A</vt:lpstr>
      <vt:lpstr>Seif2B</vt:lpstr>
      <vt:lpstr>Seif2C</vt:lpstr>
      <vt:lpstr>Seif2D</vt:lpstr>
      <vt:lpstr>Seif2DE</vt:lpstr>
      <vt:lpstr>Seif3A</vt:lpstr>
      <vt:lpstr>Seif3B</vt:lpstr>
      <vt:lpstr>Seif3BZ</vt:lpstr>
      <vt:lpstr>Seif3C</vt:lpstr>
      <vt:lpstr>StartDataSecond</vt:lpstr>
      <vt:lpstr>StartDateOutSecond</vt:lpstr>
      <vt:lpstr>StartEzerW</vt:lpstr>
      <vt:lpstr>StartSecondTable</vt:lpstr>
      <vt:lpstr>TblDataForSecondTableClean</vt:lpstr>
      <vt:lpstr>TheExtDataSecond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Whitehat</cp:lastModifiedBy>
  <cp:lastPrinted>2021-07-20T14:37:19Z</cp:lastPrinted>
  <dcterms:created xsi:type="dcterms:W3CDTF">2015-01-25T11:31:25Z</dcterms:created>
  <dcterms:modified xsi:type="dcterms:W3CDTF">2021-08-02T17:43:31Z</dcterms:modified>
  <cp:category/>
  <cp:contentStatus/>
</cp:coreProperties>
</file>